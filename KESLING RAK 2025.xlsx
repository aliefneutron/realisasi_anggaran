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DATA APLIKASI\Realisasi Keuangan\"/>
    </mc:Choice>
  </mc:AlternateContent>
  <xr:revisionPtr revIDLastSave="0" documentId="8_{4FB3F266-A9BE-4431-968C-6733508F3E3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kesling" sheetId="1" r:id="rId1"/>
    <sheet name="kab sehat" sheetId="2" r:id="rId2"/>
    <sheet name="kesjaor" sheetId="3" r:id="rId3"/>
    <sheet name="TPM" sheetId="4" r:id="rId4"/>
    <sheet name="makjan" sheetId="5" r:id="rId5"/>
  </sheets>
  <definedNames>
    <definedName name="_xlnm.Print_Area" localSheetId="1">'kab sehat'!$A$1:$AK$11</definedName>
    <definedName name="_xlnm.Print_Area" localSheetId="2">kesjaor!$A$1:$AK$7</definedName>
    <definedName name="_xlnm.Print_Area" localSheetId="0">kesling!$A$1:$AK$12</definedName>
    <definedName name="_xlnm.Print_Area" localSheetId="4">makjan!$A$1:$AK$5</definedName>
    <definedName name="_xlnm.Print_Area" localSheetId="3">TPM!$A$1:$AK$8</definedName>
    <definedName name="_xlnm.Print_Titles" localSheetId="1">'kab sehat'!$J:$S,'kab sehat'!$3:$3</definedName>
    <definedName name="_xlnm.Print_Titles" localSheetId="2">kesjaor!$J:$S,kesjaor!$3:$3</definedName>
    <definedName name="_xlnm.Print_Titles" localSheetId="0">kesling!$J:$S,kesling!$3:$3</definedName>
    <definedName name="_xlnm.Print_Titles" localSheetId="4">makjan!$J:$S,makjan!$3:$3</definedName>
    <definedName name="_xlnm.Print_Titles" localSheetId="3">TPM!$J:$S,TPM!$3:$3</definedName>
  </definedNames>
  <calcPr calcId="191029"/>
</workbook>
</file>

<file path=xl/calcChain.xml><?xml version="1.0" encoding="utf-8"?>
<calcChain xmlns="http://schemas.openxmlformats.org/spreadsheetml/2006/main">
  <c r="AF24" i="1" l="1"/>
  <c r="AG24" i="1" s="1"/>
  <c r="X10" i="2" l="1"/>
  <c r="AJ5" i="5" l="1"/>
  <c r="AJ4" i="5" s="1"/>
  <c r="AF5" i="5"/>
  <c r="AF4" i="5" s="1"/>
  <c r="AB5" i="5"/>
  <c r="AB4" i="5" s="1"/>
  <c r="X5" i="5"/>
  <c r="X4" i="5" s="1"/>
  <c r="AH4" i="5"/>
  <c r="AG4" i="5"/>
  <c r="AE4" i="5"/>
  <c r="AD4" i="5"/>
  <c r="AC4" i="5"/>
  <c r="AA4" i="5"/>
  <c r="Z4" i="5"/>
  <c r="Y4" i="5"/>
  <c r="W4" i="5"/>
  <c r="V4" i="5"/>
  <c r="U4" i="5"/>
  <c r="T4" i="5"/>
  <c r="S4" i="5"/>
  <c r="AB6" i="5" l="1"/>
  <c r="AF6" i="5"/>
  <c r="AJ6" i="5"/>
  <c r="AK5" i="5"/>
  <c r="AK4" i="5" l="1"/>
  <c r="AL4" i="5" s="1"/>
  <c r="AL5" i="5"/>
  <c r="AJ8" i="4" l="1"/>
  <c r="AF8" i="4"/>
  <c r="AB8" i="4"/>
  <c r="X8" i="4"/>
  <c r="AJ7" i="4"/>
  <c r="AF7" i="4"/>
  <c r="AB7" i="4"/>
  <c r="X7" i="4"/>
  <c r="AJ6" i="4"/>
  <c r="AF6" i="4"/>
  <c r="AB6" i="4"/>
  <c r="X6" i="4"/>
  <c r="AJ5" i="4"/>
  <c r="AJ4" i="4" s="1"/>
  <c r="AF5" i="4"/>
  <c r="AB5" i="4"/>
  <c r="X5" i="4"/>
  <c r="AH4" i="4"/>
  <c r="AG4" i="4"/>
  <c r="AE4" i="4"/>
  <c r="AD4" i="4"/>
  <c r="AC4" i="4"/>
  <c r="AA4" i="4"/>
  <c r="Z4" i="4"/>
  <c r="Y4" i="4"/>
  <c r="W4" i="4"/>
  <c r="V4" i="4"/>
  <c r="U4" i="4"/>
  <c r="T4" i="4"/>
  <c r="S4" i="4"/>
  <c r="AJ7" i="3"/>
  <c r="AF7" i="3"/>
  <c r="AB7" i="3"/>
  <c r="X7" i="3"/>
  <c r="AJ6" i="3"/>
  <c r="AF6" i="3"/>
  <c r="AB6" i="3"/>
  <c r="X6" i="3"/>
  <c r="AJ5" i="3"/>
  <c r="AJ4" i="3" s="1"/>
  <c r="AF5" i="3"/>
  <c r="AB5" i="3"/>
  <c r="X5" i="3"/>
  <c r="AH4" i="3"/>
  <c r="AG4" i="3"/>
  <c r="AE4" i="3"/>
  <c r="AD4" i="3"/>
  <c r="AC4" i="3"/>
  <c r="AA4" i="3"/>
  <c r="Z4" i="3"/>
  <c r="Y4" i="3"/>
  <c r="W4" i="3"/>
  <c r="V4" i="3"/>
  <c r="U4" i="3"/>
  <c r="T4" i="3"/>
  <c r="S4" i="3"/>
  <c r="AF10" i="2"/>
  <c r="AF11" i="2"/>
  <c r="X9" i="2"/>
  <c r="X11" i="2"/>
  <c r="AJ11" i="2"/>
  <c r="AB11" i="2"/>
  <c r="AJ10" i="2"/>
  <c r="AB10" i="2"/>
  <c r="AJ9" i="2"/>
  <c r="AF9" i="2"/>
  <c r="AB9" i="2"/>
  <c r="AJ8" i="2"/>
  <c r="AF8" i="2"/>
  <c r="AB8" i="2"/>
  <c r="X8" i="2"/>
  <c r="AJ7" i="2"/>
  <c r="AF7" i="2"/>
  <c r="AB7" i="2"/>
  <c r="X7" i="2"/>
  <c r="AJ6" i="2"/>
  <c r="AF6" i="2"/>
  <c r="AB6" i="2"/>
  <c r="X6" i="2"/>
  <c r="AJ5" i="2"/>
  <c r="AF5" i="2"/>
  <c r="AB5" i="2"/>
  <c r="X5" i="2"/>
  <c r="AH4" i="2"/>
  <c r="AG4" i="2"/>
  <c r="AE4" i="2"/>
  <c r="AD4" i="2"/>
  <c r="AC4" i="2"/>
  <c r="AA4" i="2"/>
  <c r="Z4" i="2"/>
  <c r="Y4" i="2"/>
  <c r="W4" i="2"/>
  <c r="V4" i="2"/>
  <c r="U4" i="2"/>
  <c r="T4" i="2"/>
  <c r="S4" i="2"/>
  <c r="AJ11" i="1"/>
  <c r="AB11" i="1"/>
  <c r="AJ9" i="1"/>
  <c r="AJ10" i="1"/>
  <c r="AB10" i="1"/>
  <c r="AK11" i="1" l="1"/>
  <c r="AL11" i="1" s="1"/>
  <c r="AK5" i="3"/>
  <c r="AF4" i="4"/>
  <c r="X4" i="4"/>
  <c r="X9" i="4" s="1"/>
  <c r="AB4" i="4"/>
  <c r="AB9" i="4" s="1"/>
  <c r="AK5" i="4"/>
  <c r="AK6" i="4"/>
  <c r="AL6" i="4" s="1"/>
  <c r="AK7" i="4"/>
  <c r="AL7" i="4" s="1"/>
  <c r="AK8" i="4"/>
  <c r="AL8" i="4" s="1"/>
  <c r="AJ9" i="4"/>
  <c r="AF9" i="4"/>
  <c r="AK7" i="3"/>
  <c r="AL7" i="3" s="1"/>
  <c r="AF4" i="3"/>
  <c r="AF8" i="3" s="1"/>
  <c r="AB4" i="3"/>
  <c r="AB8" i="3" s="1"/>
  <c r="AK6" i="3"/>
  <c r="AL6" i="3" s="1"/>
  <c r="X4" i="3"/>
  <c r="X8" i="3" s="1"/>
  <c r="AJ8" i="3"/>
  <c r="AL5" i="3"/>
  <c r="AF4" i="2"/>
  <c r="AF12" i="2" s="1"/>
  <c r="AK10" i="2"/>
  <c r="AL10" i="2" s="1"/>
  <c r="AJ4" i="2"/>
  <c r="AK9" i="2"/>
  <c r="AL9" i="2" s="1"/>
  <c r="AK11" i="2"/>
  <c r="AL11" i="2" s="1"/>
  <c r="X4" i="2"/>
  <c r="X12" i="2" s="1"/>
  <c r="AK5" i="2"/>
  <c r="AL5" i="2" s="1"/>
  <c r="AK6" i="2"/>
  <c r="AL6" i="2" s="1"/>
  <c r="AK7" i="2"/>
  <c r="AL7" i="2" s="1"/>
  <c r="AK8" i="2"/>
  <c r="AL8" i="2" s="1"/>
  <c r="AB4" i="2"/>
  <c r="AB12" i="2" s="1"/>
  <c r="AJ12" i="2"/>
  <c r="AK10" i="1"/>
  <c r="AL10" i="1" s="1"/>
  <c r="AF9" i="1"/>
  <c r="AB9" i="1"/>
  <c r="AK9" i="1" l="1"/>
  <c r="AL9" i="1" s="1"/>
  <c r="AK4" i="4"/>
  <c r="AL4" i="4" s="1"/>
  <c r="AL5" i="4"/>
  <c r="AK4" i="3"/>
  <c r="AL4" i="3" s="1"/>
  <c r="AK4" i="2"/>
  <c r="AL4" i="2" s="1"/>
  <c r="AJ12" i="1"/>
  <c r="AF12" i="1"/>
  <c r="AB12" i="1"/>
  <c r="X12" i="1"/>
  <c r="AJ8" i="1"/>
  <c r="AF8" i="1"/>
  <c r="AB8" i="1"/>
  <c r="X8" i="1"/>
  <c r="AJ7" i="1"/>
  <c r="AF7" i="1"/>
  <c r="AB7" i="1"/>
  <c r="X7" i="1"/>
  <c r="AJ6" i="1"/>
  <c r="AF6" i="1"/>
  <c r="AB6" i="1"/>
  <c r="X6" i="1"/>
  <c r="AJ5" i="1"/>
  <c r="AF5" i="1"/>
  <c r="AB5" i="1"/>
  <c r="X5" i="1"/>
  <c r="AH4" i="1"/>
  <c r="AG4" i="1"/>
  <c r="AE4" i="1"/>
  <c r="AD4" i="1"/>
  <c r="AC4" i="1"/>
  <c r="AA4" i="1"/>
  <c r="Z4" i="1"/>
  <c r="Y4" i="1"/>
  <c r="W4" i="1"/>
  <c r="V4" i="1"/>
  <c r="U4" i="1"/>
  <c r="T4" i="1"/>
  <c r="S4" i="1"/>
  <c r="AK8" i="1" l="1"/>
  <c r="AL8" i="1" s="1"/>
  <c r="AB4" i="1"/>
  <c r="AB13" i="1" s="1"/>
  <c r="X4" i="1"/>
  <c r="X13" i="1" s="1"/>
  <c r="AJ4" i="1"/>
  <c r="AJ13" i="1" s="1"/>
  <c r="AK7" i="1"/>
  <c r="AL7" i="1" s="1"/>
  <c r="AK12" i="1"/>
  <c r="AL12" i="1" s="1"/>
  <c r="AK5" i="1"/>
  <c r="AL5" i="1" s="1"/>
  <c r="AK6" i="1"/>
  <c r="AL6" i="1" s="1"/>
  <c r="AF4" i="1"/>
  <c r="AF13" i="1" s="1"/>
  <c r="AK4" i="1" l="1"/>
  <c r="AL4" i="1" s="1"/>
</calcChain>
</file>

<file path=xl/sharedStrings.xml><?xml version="1.0" encoding="utf-8"?>
<sst xmlns="http://schemas.openxmlformats.org/spreadsheetml/2006/main" count="510" uniqueCount="77">
  <si>
    <t>ANGGARAN KAS TAHUN 2025</t>
  </si>
  <si>
    <t>Tahun</t>
  </si>
  <si>
    <t>Daerah</t>
  </si>
  <si>
    <t>Kode Urusan</t>
  </si>
  <si>
    <t>Nama Urusan</t>
  </si>
  <si>
    <t>Kode Bidang Urusan</t>
  </si>
  <si>
    <t>Nama Bidang Urusan</t>
  </si>
  <si>
    <t>Kode SKPD</t>
  </si>
  <si>
    <t>Nama SKPD</t>
  </si>
  <si>
    <t>Kode Sub SKPD</t>
  </si>
  <si>
    <t>Nama Sub SKPD</t>
  </si>
  <si>
    <t>Kode Program</t>
  </si>
  <si>
    <t>Nama Program</t>
  </si>
  <si>
    <t>Kode Kegiatan</t>
  </si>
  <si>
    <t>Nama Kegiatan</t>
  </si>
  <si>
    <t>Kode Sub Kegiatan</t>
  </si>
  <si>
    <t>Nama Sub Kegiatan</t>
  </si>
  <si>
    <t>Kode Akun</t>
  </si>
  <si>
    <t>Nama Akun</t>
  </si>
  <si>
    <t>Nilai Rincian</t>
  </si>
  <si>
    <t>Total RAK</t>
  </si>
  <si>
    <t>bulan1</t>
  </si>
  <si>
    <t>bulan2</t>
  </si>
  <si>
    <t>bulan3</t>
  </si>
  <si>
    <t>TW 1</t>
  </si>
  <si>
    <t>bulan4</t>
  </si>
  <si>
    <t>bulan5</t>
  </si>
  <si>
    <t>bulan6</t>
  </si>
  <si>
    <t>TW2</t>
  </si>
  <si>
    <t>bulan7</t>
  </si>
  <si>
    <t>bulan8</t>
  </si>
  <si>
    <t>bulan9</t>
  </si>
  <si>
    <t>TW 3</t>
  </si>
  <si>
    <t>bulan10</t>
  </si>
  <si>
    <t>bulan11</t>
  </si>
  <si>
    <t>bulan12</t>
  </si>
  <si>
    <t>TW 4</t>
  </si>
  <si>
    <t>1</t>
  </si>
  <si>
    <t>URUSAN PEMERINTAHAN WAJIB YANG BERKAITAN DENGAN PELAYANAN DASAR</t>
  </si>
  <si>
    <t>1.02</t>
  </si>
  <si>
    <t>URUSAN PEMERINTAHAN BIDANG KESEHATAN</t>
  </si>
  <si>
    <t>1.02.2.14.0.00.01.0000</t>
  </si>
  <si>
    <t>DINAS KESEHATAN, PENGENDALIAN PENDUDUK DAN KELUARGA BERENCANA</t>
  </si>
  <si>
    <t>1.02.01</t>
  </si>
  <si>
    <t>1.02.01.2.01</t>
  </si>
  <si>
    <t>1.02.01.2.01.01</t>
  </si>
  <si>
    <t>5.1.02.01.01.0024</t>
  </si>
  <si>
    <t>Belanja Alat/Bahan untuk Kegiatan Kantor0Alat Tulis Kantor</t>
  </si>
  <si>
    <t>5.1.02.01.01.0025</t>
  </si>
  <si>
    <t>5.1.02.01.01.0029</t>
  </si>
  <si>
    <t>5.1.02.01.01.0052</t>
  </si>
  <si>
    <t>Belanja Makanan dan Minuman Rapat</t>
  </si>
  <si>
    <t>5.1.02.04.01.0001</t>
  </si>
  <si>
    <t>Belanja Perjalanan Dinas Biasa</t>
  </si>
  <si>
    <t>5.1.02.01.01.0053</t>
  </si>
  <si>
    <t>Belanja Jasa Tenaga Laboratorium</t>
  </si>
  <si>
    <t>5.1.02.01.01.0054</t>
  </si>
  <si>
    <t>Belanja Sewa Bangunan Gedung Tempat Pertemuan</t>
  </si>
  <si>
    <t>Belanja Perjalanan Dinas Dalam Kota</t>
  </si>
  <si>
    <t>PROGRAM PEMENUHAN UPAYA KESEHATAN PERORANGAN DAN UPAYA KESEHATAN MASYARAKAT</t>
  </si>
  <si>
    <t>Penyediaan Layanan Kesehatan untuk UKM dan UKP Rujukan Tingkat Daerah Kabupaten/Kota</t>
  </si>
  <si>
    <t>Penyelenggaraan Kabupaten/Kota Sehat</t>
  </si>
  <si>
    <t>Belanja Alat/Bahan untuk Kegiatan Kantor-Alat Tulis Kantor</t>
  </si>
  <si>
    <t>Belanja Alat/Bahan untuk Kegiatan Kantor-Bahan Komputer</t>
  </si>
  <si>
    <t>5.1.02.01.01.0026</t>
  </si>
  <si>
    <t>Honorarium Tim Pelaksana Kegiatan dan Sekretariat Tim Pelaksana Kegiatan</t>
  </si>
  <si>
    <t>,</t>
  </si>
  <si>
    <t>Pengelolaan Pelayanan Kesehatan Kerja dan Olahraga</t>
  </si>
  <si>
    <t>PROGRAM SEDIAAN FARMASI, ALAT KESEHATAN DAN MAKANAN MINUMAN</t>
  </si>
  <si>
    <t>Penerbitan Sertifikat Laik Higiene Sanitasi Tempat Pengelolaan Makanan (TPM) antara lain Jasa Boga, Rumah
Makan/Restoran dan Depot Air Minum (DAM)</t>
  </si>
  <si>
    <t xml:space="preserve"> Pengendalian dan Pengawasan serta Tindak Lanjut Pengawasan Penerbitan Sertifikat Laik Higiene Sanitasi Tempat
Pengelolaan Makanan (TPM) antara lain Jasa Boga, Rumah Makan/Restoran dan Depot Air Minum (DAM</t>
  </si>
  <si>
    <t xml:space="preserve"> Penerbitan Stiker Pembinaan pada Makanan Jajanan dan Sentra Makanan Jajanan</t>
  </si>
  <si>
    <t>Pengendalian dan Pengawasan serta Tindak Lanjut Penerbitan Stiker Pembinaan pada Makanan Jajanan dan Sentra Makanan Jajanan</t>
  </si>
  <si>
    <t>Belanja Alat/Bahan untuk Kegiatan Kantor- Kertas dan Cover</t>
  </si>
  <si>
    <t>Belanja Alat/Bahan untuk Kegiatan Kantor  Kertas dan Cover</t>
  </si>
  <si>
    <t>Belanja Alat/Bahan untuk Kegiatan Kantor Bahan Komputer</t>
  </si>
  <si>
    <t xml:space="preserve">Pengelolaan Pelayanan Kesehatan Lingkungan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</si>
</sst>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9">
    <font>
      <sz val="12"/>
      <color rgb="FF000000"/>
      <name val="Calibri"/>
      <charset val="134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1" fillId="4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164" fontId="3" fillId="0" borderId="3" xfId="0" applyNumberFormat="1" applyFont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4" fontId="7" fillId="3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horizontal="right" vertical="center" wrapText="1"/>
    </xf>
    <xf numFmtId="0" fontId="2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/>
    </xf>
    <xf numFmtId="164" fontId="5" fillId="5" borderId="1" xfId="0" applyNumberFormat="1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164" fontId="8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"/>
  <sheetViews>
    <sheetView tabSelected="1" view="pageBreakPreview" topLeftCell="J1" zoomScaleNormal="100" workbookViewId="0">
      <pane ySplit="3" topLeftCell="A4" activePane="bottomLeft" state="frozen"/>
      <selection pane="bottomLeft" activeCell="N5" sqref="N5"/>
    </sheetView>
  </sheetViews>
  <sheetFormatPr defaultColWidth="9" defaultRowHeight="12"/>
  <cols>
    <col min="1" max="9" width="9" style="4" hidden="1" customWidth="1"/>
    <col min="10" max="10" width="16.75" style="4" customWidth="1"/>
    <col min="11" max="11" width="9" style="4" customWidth="1"/>
    <col min="12" max="12" width="29.5" style="4" customWidth="1"/>
    <col min="13" max="13" width="13.5" style="4" customWidth="1"/>
    <col min="14" max="14" width="32.875" style="4" customWidth="1"/>
    <col min="15" max="15" width="17.125" style="4" customWidth="1"/>
    <col min="16" max="16" width="25.125" style="4" customWidth="1"/>
    <col min="17" max="17" width="16.375" style="4" customWidth="1"/>
    <col min="18" max="18" width="14.75" style="4" customWidth="1"/>
    <col min="19" max="19" width="13.25" style="5" customWidth="1"/>
    <col min="20" max="20" width="14.5" style="5" customWidth="1"/>
    <col min="21" max="23" width="12.75" style="5" customWidth="1"/>
    <col min="24" max="24" width="13.75" style="6" customWidth="1"/>
    <col min="25" max="27" width="12.625" style="5" customWidth="1"/>
    <col min="28" max="28" width="13.75" style="6" customWidth="1"/>
    <col min="29" max="29" width="12.875" style="5" customWidth="1"/>
    <col min="30" max="30" width="12.375" style="5" customWidth="1"/>
    <col min="31" max="31" width="12.625" style="5" customWidth="1"/>
    <col min="32" max="32" width="13.625" style="7" customWidth="1"/>
    <col min="33" max="34" width="12.5" style="5" customWidth="1"/>
    <col min="35" max="35" width="13.125" style="5" customWidth="1"/>
    <col min="36" max="36" width="13.25" style="6" customWidth="1"/>
    <col min="37" max="37" width="14" style="8" customWidth="1"/>
    <col min="38" max="38" width="9.625" style="4"/>
    <col min="39" max="16384" width="9" style="4"/>
  </cols>
  <sheetData>
    <row r="1" spans="1:38">
      <c r="J1" s="9" t="s">
        <v>0</v>
      </c>
    </row>
    <row r="3" spans="1:38" s="1" customFormat="1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3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5" t="s">
        <v>24</v>
      </c>
      <c r="Y3" s="14" t="s">
        <v>25</v>
      </c>
      <c r="Z3" s="14" t="s">
        <v>26</v>
      </c>
      <c r="AA3" s="14" t="s">
        <v>27</v>
      </c>
      <c r="AB3" s="15" t="s">
        <v>28</v>
      </c>
      <c r="AC3" s="14" t="s">
        <v>29</v>
      </c>
      <c r="AD3" s="14" t="s">
        <v>30</v>
      </c>
      <c r="AE3" s="14" t="s">
        <v>31</v>
      </c>
      <c r="AF3" s="15" t="s">
        <v>32</v>
      </c>
      <c r="AG3" s="14" t="s">
        <v>33</v>
      </c>
      <c r="AH3" s="14" t="s">
        <v>34</v>
      </c>
      <c r="AI3" s="14" t="s">
        <v>35</v>
      </c>
      <c r="AJ3" s="15" t="s">
        <v>36</v>
      </c>
      <c r="AK3" s="19"/>
    </row>
    <row r="4" spans="1:38" s="2" customFormat="1" ht="15" customHeight="1">
      <c r="J4" s="11"/>
      <c r="K4" s="11"/>
      <c r="L4" s="11"/>
      <c r="M4" s="11"/>
      <c r="N4" s="11"/>
      <c r="O4" s="11"/>
      <c r="P4" s="11"/>
      <c r="Q4" s="11"/>
      <c r="R4" s="11"/>
      <c r="S4" s="16">
        <f t="shared" ref="S4:AH4" si="0">SUM(S5:S12)</f>
        <v>129203000</v>
      </c>
      <c r="T4" s="16">
        <f t="shared" si="0"/>
        <v>30939600</v>
      </c>
      <c r="U4" s="16">
        <f t="shared" si="0"/>
        <v>4560000</v>
      </c>
      <c r="V4" s="16">
        <f t="shared" si="0"/>
        <v>10820000</v>
      </c>
      <c r="W4" s="16">
        <f t="shared" si="0"/>
        <v>7200000</v>
      </c>
      <c r="X4" s="16">
        <f t="shared" si="0"/>
        <v>22580000</v>
      </c>
      <c r="Y4" s="16">
        <f t="shared" si="0"/>
        <v>12250000</v>
      </c>
      <c r="Z4" s="16">
        <f t="shared" si="0"/>
        <v>18662000</v>
      </c>
      <c r="AA4" s="16">
        <f t="shared" si="0"/>
        <v>32871000</v>
      </c>
      <c r="AB4" s="16">
        <f t="shared" si="0"/>
        <v>63783000</v>
      </c>
      <c r="AC4" s="16">
        <f t="shared" si="0"/>
        <v>6571000</v>
      </c>
      <c r="AD4" s="16">
        <f t="shared" si="0"/>
        <v>0</v>
      </c>
      <c r="AE4" s="16">
        <f t="shared" si="0"/>
        <v>870000</v>
      </c>
      <c r="AF4" s="16">
        <f t="shared" si="0"/>
        <v>7441000</v>
      </c>
      <c r="AG4" s="16">
        <f t="shared" si="0"/>
        <v>21642000</v>
      </c>
      <c r="AH4" s="16">
        <f t="shared" si="0"/>
        <v>13757000</v>
      </c>
      <c r="AI4" s="16"/>
      <c r="AJ4" s="16">
        <f>SUM(AJ5:AJ12)</f>
        <v>35399000</v>
      </c>
      <c r="AK4" s="16">
        <f>SUM(AK5:AK12)</f>
        <v>129203000</v>
      </c>
      <c r="AL4" s="2">
        <f t="shared" ref="AL4:AL12" si="1">S4-AK4</f>
        <v>0</v>
      </c>
    </row>
    <row r="5" spans="1:38" s="3" customFormat="1" ht="93" customHeight="1">
      <c r="A5" s="3">
        <v>2023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41</v>
      </c>
      <c r="J5" s="23" t="s">
        <v>42</v>
      </c>
      <c r="K5" s="23" t="s">
        <v>43</v>
      </c>
      <c r="L5" s="23" t="s">
        <v>59</v>
      </c>
      <c r="M5" s="23" t="s">
        <v>44</v>
      </c>
      <c r="N5" s="23" t="s">
        <v>60</v>
      </c>
      <c r="O5" s="23" t="s">
        <v>45</v>
      </c>
      <c r="P5" s="23" t="s">
        <v>76</v>
      </c>
      <c r="Q5" s="12" t="s">
        <v>46</v>
      </c>
      <c r="R5" s="12" t="s">
        <v>47</v>
      </c>
      <c r="S5" s="22">
        <v>2050000</v>
      </c>
      <c r="T5" s="17">
        <v>2347100</v>
      </c>
      <c r="U5" s="17"/>
      <c r="V5" s="17">
        <v>2050000</v>
      </c>
      <c r="W5" s="17"/>
      <c r="X5" s="18">
        <f t="shared" ref="X5:X12" si="2">SUM(U5:W5)</f>
        <v>2050000</v>
      </c>
      <c r="Y5" s="17"/>
      <c r="Z5" s="17"/>
      <c r="AA5" s="17"/>
      <c r="AB5" s="18">
        <f t="shared" ref="AB5:AB12" si="3">SUM(Y5:AA5)</f>
        <v>0</v>
      </c>
      <c r="AC5" s="17"/>
      <c r="AD5" s="17"/>
      <c r="AE5" s="17"/>
      <c r="AF5" s="18">
        <f t="shared" ref="AF5:AF12" si="4">SUM(AC5:AE5)</f>
        <v>0</v>
      </c>
      <c r="AG5" s="17"/>
      <c r="AH5" s="17"/>
      <c r="AI5" s="17"/>
      <c r="AJ5" s="20">
        <f t="shared" ref="AJ5:AJ12" si="5">SUM(AG5:AI5)</f>
        <v>0</v>
      </c>
      <c r="AK5" s="21">
        <f t="shared" ref="AK5:AK12" si="6">X5+AB5+AF5+AJ5</f>
        <v>2050000</v>
      </c>
      <c r="AL5" s="3">
        <f t="shared" si="1"/>
        <v>0</v>
      </c>
    </row>
    <row r="6" spans="1:38" s="3" customFormat="1" ht="72" customHeight="1">
      <c r="A6" s="3">
        <v>2023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41</v>
      </c>
      <c r="J6" s="23" t="s">
        <v>42</v>
      </c>
      <c r="K6" s="23" t="s">
        <v>43</v>
      </c>
      <c r="L6" s="23" t="s">
        <v>59</v>
      </c>
      <c r="M6" s="23" t="s">
        <v>44</v>
      </c>
      <c r="N6" s="23" t="s">
        <v>60</v>
      </c>
      <c r="O6" s="23" t="s">
        <v>45</v>
      </c>
      <c r="P6" s="23" t="s">
        <v>76</v>
      </c>
      <c r="Q6" s="12" t="s">
        <v>48</v>
      </c>
      <c r="R6" s="12" t="s">
        <v>74</v>
      </c>
      <c r="S6" s="22">
        <v>196000</v>
      </c>
      <c r="T6" s="17">
        <v>6818300</v>
      </c>
      <c r="U6" s="17"/>
      <c r="V6" s="17">
        <v>196000</v>
      </c>
      <c r="W6" s="17"/>
      <c r="X6" s="18">
        <f t="shared" si="2"/>
        <v>196000</v>
      </c>
      <c r="Y6" s="17"/>
      <c r="Z6" s="17"/>
      <c r="AA6" s="17"/>
      <c r="AB6" s="18">
        <f t="shared" si="3"/>
        <v>0</v>
      </c>
      <c r="AC6" s="17"/>
      <c r="AD6" s="17"/>
      <c r="AE6" s="17"/>
      <c r="AF6" s="18">
        <f t="shared" si="4"/>
        <v>0</v>
      </c>
      <c r="AG6" s="17"/>
      <c r="AH6" s="17"/>
      <c r="AI6" s="17"/>
      <c r="AJ6" s="20">
        <f t="shared" si="5"/>
        <v>0</v>
      </c>
      <c r="AK6" s="21">
        <f t="shared" si="6"/>
        <v>196000</v>
      </c>
      <c r="AL6" s="3">
        <f t="shared" si="1"/>
        <v>0</v>
      </c>
    </row>
    <row r="7" spans="1:38" s="3" customFormat="1" ht="92.25" customHeight="1">
      <c r="A7" s="3">
        <v>2023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41</v>
      </c>
      <c r="J7" s="23" t="s">
        <v>42</v>
      </c>
      <c r="K7" s="23" t="s">
        <v>43</v>
      </c>
      <c r="L7" s="23" t="s">
        <v>59</v>
      </c>
      <c r="M7" s="23" t="s">
        <v>44</v>
      </c>
      <c r="N7" s="23" t="s">
        <v>60</v>
      </c>
      <c r="O7" s="23" t="s">
        <v>45</v>
      </c>
      <c r="P7" s="23" t="s">
        <v>76</v>
      </c>
      <c r="Q7" s="12" t="s">
        <v>49</v>
      </c>
      <c r="R7" s="12" t="s">
        <v>75</v>
      </c>
      <c r="S7" s="22">
        <v>1374000</v>
      </c>
      <c r="T7" s="17">
        <v>3448200</v>
      </c>
      <c r="U7" s="17"/>
      <c r="V7" s="17">
        <v>1374000</v>
      </c>
      <c r="W7" s="17"/>
      <c r="X7" s="18">
        <f t="shared" si="2"/>
        <v>1374000</v>
      </c>
      <c r="Y7" s="17"/>
      <c r="Z7" s="17"/>
      <c r="AA7" s="17"/>
      <c r="AB7" s="18">
        <f t="shared" si="3"/>
        <v>0</v>
      </c>
      <c r="AC7" s="17"/>
      <c r="AD7" s="17"/>
      <c r="AE7" s="17"/>
      <c r="AF7" s="18">
        <f t="shared" si="4"/>
        <v>0</v>
      </c>
      <c r="AG7" s="17"/>
      <c r="AH7" s="17"/>
      <c r="AI7" s="17"/>
      <c r="AJ7" s="20">
        <f t="shared" si="5"/>
        <v>0</v>
      </c>
      <c r="AK7" s="21">
        <f t="shared" si="6"/>
        <v>1374000</v>
      </c>
      <c r="AL7" s="3">
        <f t="shared" si="1"/>
        <v>0</v>
      </c>
    </row>
    <row r="8" spans="1:38" s="3" customFormat="1" ht="90.75" customHeight="1">
      <c r="A8" s="3">
        <v>2023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41</v>
      </c>
      <c r="J8" s="23" t="s">
        <v>42</v>
      </c>
      <c r="K8" s="23" t="s">
        <v>43</v>
      </c>
      <c r="L8" s="23" t="s">
        <v>59</v>
      </c>
      <c r="M8" s="23" t="s">
        <v>44</v>
      </c>
      <c r="N8" s="23" t="s">
        <v>60</v>
      </c>
      <c r="O8" s="23" t="s">
        <v>45</v>
      </c>
      <c r="P8" s="23" t="s">
        <v>76</v>
      </c>
      <c r="Q8" s="12" t="s">
        <v>50</v>
      </c>
      <c r="R8" s="12" t="s">
        <v>51</v>
      </c>
      <c r="S8" s="22">
        <v>2720000</v>
      </c>
      <c r="T8" s="17">
        <v>5750000</v>
      </c>
      <c r="U8" s="17"/>
      <c r="V8" s="17"/>
      <c r="W8" s="17"/>
      <c r="X8" s="18">
        <f t="shared" si="2"/>
        <v>0</v>
      </c>
      <c r="Y8" s="17">
        <v>1360000</v>
      </c>
      <c r="Z8" s="17"/>
      <c r="AA8" s="17"/>
      <c r="AB8" s="18">
        <f t="shared" si="3"/>
        <v>1360000</v>
      </c>
      <c r="AC8" s="17">
        <v>1360000</v>
      </c>
      <c r="AD8" s="17"/>
      <c r="AE8" s="17"/>
      <c r="AF8" s="18">
        <f t="shared" si="4"/>
        <v>1360000</v>
      </c>
      <c r="AG8" s="17"/>
      <c r="AH8" s="17"/>
      <c r="AI8" s="17"/>
      <c r="AJ8" s="20">
        <f t="shared" si="5"/>
        <v>0</v>
      </c>
      <c r="AK8" s="21">
        <f>X8+AB8+AF8+AJ8</f>
        <v>2720000</v>
      </c>
      <c r="AL8" s="3">
        <f t="shared" si="1"/>
        <v>0</v>
      </c>
    </row>
    <row r="9" spans="1:38" s="3" customFormat="1" ht="90.75" customHeight="1">
      <c r="J9" s="23" t="s">
        <v>42</v>
      </c>
      <c r="K9" s="23" t="s">
        <v>43</v>
      </c>
      <c r="L9" s="23" t="s">
        <v>59</v>
      </c>
      <c r="M9" s="23" t="s">
        <v>44</v>
      </c>
      <c r="N9" s="23" t="s">
        <v>60</v>
      </c>
      <c r="O9" s="23" t="s">
        <v>45</v>
      </c>
      <c r="P9" s="23" t="s">
        <v>76</v>
      </c>
      <c r="Q9" s="12" t="s">
        <v>54</v>
      </c>
      <c r="R9" s="23" t="s">
        <v>55</v>
      </c>
      <c r="S9" s="22">
        <v>2250000</v>
      </c>
      <c r="T9" s="17"/>
      <c r="U9" s="17"/>
      <c r="V9" s="17"/>
      <c r="W9" s="17"/>
      <c r="X9" s="18"/>
      <c r="Y9" s="17"/>
      <c r="Z9" s="17"/>
      <c r="AA9" s="17">
        <v>1125000</v>
      </c>
      <c r="AB9" s="18">
        <f t="shared" si="3"/>
        <v>1125000</v>
      </c>
      <c r="AC9" s="17">
        <v>1125000</v>
      </c>
      <c r="AD9" s="17"/>
      <c r="AE9" s="17"/>
      <c r="AF9" s="18">
        <f t="shared" si="4"/>
        <v>1125000</v>
      </c>
      <c r="AG9" s="17"/>
      <c r="AH9" s="17"/>
      <c r="AI9" s="17"/>
      <c r="AJ9" s="20">
        <f>SUM(AG9:AI9)</f>
        <v>0</v>
      </c>
      <c r="AK9" s="21">
        <f>X9+AB9+AF9+AJ9</f>
        <v>2250000</v>
      </c>
      <c r="AL9" s="3">
        <f t="shared" si="1"/>
        <v>0</v>
      </c>
    </row>
    <row r="10" spans="1:38" s="3" customFormat="1" ht="90.75" customHeight="1">
      <c r="J10" s="23" t="s">
        <v>42</v>
      </c>
      <c r="K10" s="23" t="s">
        <v>43</v>
      </c>
      <c r="L10" s="23" t="s">
        <v>59</v>
      </c>
      <c r="M10" s="23" t="s">
        <v>44</v>
      </c>
      <c r="N10" s="23" t="s">
        <v>60</v>
      </c>
      <c r="O10" s="23" t="s">
        <v>45</v>
      </c>
      <c r="P10" s="23" t="s">
        <v>76</v>
      </c>
      <c r="Q10" s="12" t="s">
        <v>56</v>
      </c>
      <c r="R10" s="24" t="s">
        <v>57</v>
      </c>
      <c r="S10" s="22">
        <v>30000000</v>
      </c>
      <c r="T10" s="17"/>
      <c r="U10" s="17"/>
      <c r="V10" s="17"/>
      <c r="W10" s="17"/>
      <c r="X10" s="18"/>
      <c r="Y10" s="17"/>
      <c r="Z10" s="17"/>
      <c r="AA10" s="17">
        <v>15000000</v>
      </c>
      <c r="AB10" s="18">
        <f t="shared" si="3"/>
        <v>15000000</v>
      </c>
      <c r="AC10" s="17"/>
      <c r="AD10" s="17"/>
      <c r="AE10" s="17"/>
      <c r="AF10" s="18"/>
      <c r="AG10" s="17">
        <v>15000000</v>
      </c>
      <c r="AH10" s="17"/>
      <c r="AI10" s="17"/>
      <c r="AJ10" s="20">
        <f t="shared" si="5"/>
        <v>15000000</v>
      </c>
      <c r="AK10" s="21">
        <f>X10+AB10+AF10+AJ10</f>
        <v>30000000</v>
      </c>
      <c r="AL10" s="3">
        <f t="shared" si="1"/>
        <v>0</v>
      </c>
    </row>
    <row r="11" spans="1:38" s="3" customFormat="1" ht="90.75" customHeight="1">
      <c r="J11" s="23" t="s">
        <v>42</v>
      </c>
      <c r="K11" s="23" t="s">
        <v>43</v>
      </c>
      <c r="L11" s="23" t="s">
        <v>59</v>
      </c>
      <c r="M11" s="23" t="s">
        <v>44</v>
      </c>
      <c r="N11" s="23" t="s">
        <v>60</v>
      </c>
      <c r="O11" s="23" t="s">
        <v>45</v>
      </c>
      <c r="P11" s="23" t="s">
        <v>76</v>
      </c>
      <c r="Q11" s="12" t="s">
        <v>52</v>
      </c>
      <c r="R11" s="12" t="s">
        <v>53</v>
      </c>
      <c r="S11" s="22">
        <v>43195000</v>
      </c>
      <c r="T11" s="17"/>
      <c r="U11" s="17"/>
      <c r="V11" s="17"/>
      <c r="W11" s="17"/>
      <c r="X11" s="18"/>
      <c r="Y11" s="17">
        <v>2250000</v>
      </c>
      <c r="Z11" s="36">
        <v>12992000</v>
      </c>
      <c r="AA11" s="17">
        <v>11946000</v>
      </c>
      <c r="AB11" s="18">
        <f>SUM(Y11:AA11)</f>
        <v>27188000</v>
      </c>
      <c r="AD11" s="17"/>
      <c r="AE11" s="17"/>
      <c r="AF11" s="18"/>
      <c r="AG11" s="17">
        <v>2250000</v>
      </c>
      <c r="AH11" s="36">
        <v>13757000</v>
      </c>
      <c r="AI11" s="17"/>
      <c r="AJ11" s="20">
        <f t="shared" si="5"/>
        <v>16007000</v>
      </c>
      <c r="AK11" s="21">
        <f>X11+AB11+AF11+AJ11</f>
        <v>43195000</v>
      </c>
      <c r="AL11" s="3">
        <f t="shared" si="1"/>
        <v>0</v>
      </c>
    </row>
    <row r="12" spans="1:38" s="3" customFormat="1" ht="99" customHeight="1">
      <c r="A12" s="3">
        <v>2023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41</v>
      </c>
      <c r="J12" s="23" t="s">
        <v>42</v>
      </c>
      <c r="K12" s="23" t="s">
        <v>43</v>
      </c>
      <c r="L12" s="23" t="s">
        <v>59</v>
      </c>
      <c r="M12" s="23" t="s">
        <v>44</v>
      </c>
      <c r="N12" s="23" t="s">
        <v>60</v>
      </c>
      <c r="O12" s="23" t="s">
        <v>45</v>
      </c>
      <c r="P12" s="23" t="s">
        <v>76</v>
      </c>
      <c r="Q12" s="12" t="s">
        <v>52</v>
      </c>
      <c r="R12" s="12" t="s">
        <v>58</v>
      </c>
      <c r="S12" s="22">
        <v>47418000</v>
      </c>
      <c r="T12" s="17">
        <v>12576000</v>
      </c>
      <c r="U12" s="17">
        <v>4560000</v>
      </c>
      <c r="V12" s="17">
        <v>7200000</v>
      </c>
      <c r="W12" s="17">
        <v>7200000</v>
      </c>
      <c r="X12" s="18">
        <f t="shared" si="2"/>
        <v>18960000</v>
      </c>
      <c r="Y12" s="17">
        <v>8640000</v>
      </c>
      <c r="Z12" s="17">
        <v>5670000</v>
      </c>
      <c r="AA12" s="17">
        <v>4800000</v>
      </c>
      <c r="AB12" s="18">
        <f t="shared" si="3"/>
        <v>19110000</v>
      </c>
      <c r="AC12" s="17">
        <v>4086000</v>
      </c>
      <c r="AD12" s="17"/>
      <c r="AE12" s="17">
        <v>870000</v>
      </c>
      <c r="AF12" s="18">
        <f t="shared" si="4"/>
        <v>4956000</v>
      </c>
      <c r="AG12" s="17">
        <v>4392000</v>
      </c>
      <c r="AH12" s="17"/>
      <c r="AI12" s="17"/>
      <c r="AJ12" s="20">
        <f t="shared" si="5"/>
        <v>4392000</v>
      </c>
      <c r="AK12" s="21">
        <f t="shared" si="6"/>
        <v>47418000</v>
      </c>
      <c r="AL12" s="3">
        <f t="shared" si="1"/>
        <v>0</v>
      </c>
    </row>
    <row r="13" spans="1:38">
      <c r="X13" s="6">
        <f>X4/S4*100</f>
        <v>17.476374387591619</v>
      </c>
      <c r="AB13" s="6">
        <f>AB4/S4*100</f>
        <v>49.366500777845715</v>
      </c>
      <c r="AF13" s="7">
        <f>AF4/S4*100</f>
        <v>5.7591541992059003</v>
      </c>
      <c r="AJ13" s="6">
        <f>AJ4/S4*100</f>
        <v>27.397970635356767</v>
      </c>
    </row>
    <row r="24" spans="32:33">
      <c r="AF24" s="7">
        <f>Z11+AH11</f>
        <v>26749000</v>
      </c>
      <c r="AG24" s="5">
        <f>AF24-26927000</f>
        <v>-178000</v>
      </c>
    </row>
  </sheetData>
  <pageMargins left="0" right="0.18" top="0" bottom="0" header="0.5" footer="0.5"/>
  <pageSetup paperSize="5" scale="77" orientation="landscape" r:id="rId1"/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"/>
  <sheetViews>
    <sheetView view="pageBreakPreview" topLeftCell="S1" zoomScale="89" zoomScaleNormal="100" zoomScaleSheetLayoutView="89" workbookViewId="0">
      <pane ySplit="3" topLeftCell="A4" activePane="bottomLeft" state="frozen"/>
      <selection pane="bottomLeft" activeCell="AA10" sqref="AA10"/>
    </sheetView>
  </sheetViews>
  <sheetFormatPr defaultColWidth="9" defaultRowHeight="12"/>
  <cols>
    <col min="1" max="9" width="9" style="4" hidden="1" customWidth="1"/>
    <col min="10" max="10" width="11.625" style="4" customWidth="1"/>
    <col min="11" max="11" width="9" style="4" hidden="1" customWidth="1"/>
    <col min="12" max="12" width="12.625" style="4" customWidth="1"/>
    <col min="13" max="13" width="13.5" style="4" hidden="1" customWidth="1"/>
    <col min="14" max="14" width="14.625" style="4" customWidth="1"/>
    <col min="15" max="15" width="14" style="4" hidden="1" customWidth="1"/>
    <col min="16" max="16" width="13.5" style="4" customWidth="1"/>
    <col min="17" max="17" width="16.375" style="4" hidden="1" customWidth="1"/>
    <col min="18" max="18" width="12" style="4" customWidth="1"/>
    <col min="19" max="19" width="13.25" style="5" customWidth="1"/>
    <col min="20" max="20" width="14.5" style="5" hidden="1" customWidth="1"/>
    <col min="21" max="23" width="12.75" style="5" customWidth="1"/>
    <col min="24" max="24" width="13.75" style="6" customWidth="1"/>
    <col min="25" max="27" width="12.625" style="5" customWidth="1"/>
    <col min="28" max="28" width="13.75" style="6" customWidth="1"/>
    <col min="29" max="29" width="12.875" style="5" customWidth="1"/>
    <col min="30" max="30" width="12.375" style="5" customWidth="1"/>
    <col min="31" max="31" width="12.625" style="5" customWidth="1"/>
    <col min="32" max="32" width="13.625" style="7" customWidth="1"/>
    <col min="33" max="34" width="12.5" style="5" customWidth="1"/>
    <col min="35" max="35" width="13.125" style="5" customWidth="1"/>
    <col min="36" max="36" width="13.25" style="6" customWidth="1"/>
    <col min="37" max="37" width="14" style="8" customWidth="1"/>
    <col min="38" max="16384" width="9" style="4"/>
  </cols>
  <sheetData>
    <row r="1" spans="1:38">
      <c r="J1" s="9" t="s">
        <v>0</v>
      </c>
    </row>
    <row r="3" spans="1:38" s="1" customFormat="1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3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5" t="s">
        <v>24</v>
      </c>
      <c r="Y3" s="14" t="s">
        <v>25</v>
      </c>
      <c r="Z3" s="14" t="s">
        <v>26</v>
      </c>
      <c r="AA3" s="14" t="s">
        <v>27</v>
      </c>
      <c r="AB3" s="15" t="s">
        <v>28</v>
      </c>
      <c r="AC3" s="14" t="s">
        <v>29</v>
      </c>
      <c r="AD3" s="14" t="s">
        <v>30</v>
      </c>
      <c r="AE3" s="14" t="s">
        <v>31</v>
      </c>
      <c r="AF3" s="15" t="s">
        <v>32</v>
      </c>
      <c r="AG3" s="14" t="s">
        <v>33</v>
      </c>
      <c r="AH3" s="14" t="s">
        <v>34</v>
      </c>
      <c r="AI3" s="14" t="s">
        <v>35</v>
      </c>
      <c r="AJ3" s="15" t="s">
        <v>36</v>
      </c>
      <c r="AK3" s="19"/>
    </row>
    <row r="4" spans="1:38" s="2" customFormat="1" ht="15" customHeight="1">
      <c r="J4" s="11"/>
      <c r="K4" s="11"/>
      <c r="L4" s="11"/>
      <c r="M4" s="11"/>
      <c r="N4" s="11"/>
      <c r="O4" s="11"/>
      <c r="P4" s="11"/>
      <c r="Q4" s="11"/>
      <c r="R4" s="11"/>
      <c r="S4" s="16">
        <f t="shared" ref="S4:AH4" si="0">SUM(S5:S11)</f>
        <v>66344900</v>
      </c>
      <c r="T4" s="16">
        <f t="shared" si="0"/>
        <v>18363600</v>
      </c>
      <c r="U4" s="16">
        <f t="shared" si="0"/>
        <v>0</v>
      </c>
      <c r="V4" s="16">
        <f t="shared" si="0"/>
        <v>10036400</v>
      </c>
      <c r="W4" s="16">
        <f t="shared" si="0"/>
        <v>3400000</v>
      </c>
      <c r="X4" s="16">
        <f t="shared" si="0"/>
        <v>13436400</v>
      </c>
      <c r="Y4" s="16">
        <f t="shared" si="0"/>
        <v>4087500</v>
      </c>
      <c r="Z4" s="16">
        <f t="shared" si="0"/>
        <v>4200000</v>
      </c>
      <c r="AA4" s="16">
        <f t="shared" si="0"/>
        <v>5000000</v>
      </c>
      <c r="AB4" s="16">
        <f t="shared" si="0"/>
        <v>13287500</v>
      </c>
      <c r="AC4" s="16">
        <f t="shared" si="0"/>
        <v>5287500</v>
      </c>
      <c r="AD4" s="16">
        <f t="shared" si="0"/>
        <v>11250000</v>
      </c>
      <c r="AE4" s="16">
        <f t="shared" si="0"/>
        <v>5400000</v>
      </c>
      <c r="AF4" s="16">
        <f t="shared" si="0"/>
        <v>21937500</v>
      </c>
      <c r="AG4" s="16">
        <f t="shared" si="0"/>
        <v>14396000</v>
      </c>
      <c r="AH4" s="16">
        <f t="shared" si="0"/>
        <v>3287500</v>
      </c>
      <c r="AI4" s="16"/>
      <c r="AJ4" s="16">
        <f>SUM(AJ5:AJ11)</f>
        <v>17683500</v>
      </c>
      <c r="AK4" s="16">
        <f>SUM(AK5:AK11)</f>
        <v>66344900</v>
      </c>
      <c r="AL4" s="31">
        <f t="shared" ref="AL4:AL11" si="1">S4-AK4</f>
        <v>0</v>
      </c>
    </row>
    <row r="5" spans="1:38" s="3" customFormat="1" ht="93" customHeight="1">
      <c r="A5" s="3">
        <v>2023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41</v>
      </c>
      <c r="J5" s="23" t="s">
        <v>42</v>
      </c>
      <c r="K5" s="23" t="s">
        <v>43</v>
      </c>
      <c r="L5" s="23" t="s">
        <v>59</v>
      </c>
      <c r="M5" s="23" t="s">
        <v>44</v>
      </c>
      <c r="N5" s="23" t="s">
        <v>60</v>
      </c>
      <c r="O5" s="23" t="s">
        <v>45</v>
      </c>
      <c r="P5" s="23" t="s">
        <v>61</v>
      </c>
      <c r="Q5" s="23" t="s">
        <v>46</v>
      </c>
      <c r="R5" s="23" t="s">
        <v>62</v>
      </c>
      <c r="S5" s="25">
        <v>1677500</v>
      </c>
      <c r="T5" s="17">
        <v>2347100</v>
      </c>
      <c r="U5" s="17"/>
      <c r="V5" s="17">
        <v>1677500</v>
      </c>
      <c r="W5" s="17">
        <v>0</v>
      </c>
      <c r="X5" s="18">
        <f t="shared" ref="X5:X11" si="2">SUM(U5:W5)</f>
        <v>1677500</v>
      </c>
      <c r="Y5" s="17">
        <v>0</v>
      </c>
      <c r="Z5" s="17">
        <v>0</v>
      </c>
      <c r="AA5" s="17">
        <v>0</v>
      </c>
      <c r="AB5" s="18">
        <f t="shared" ref="AB5:AB10" si="3">SUM(Y5:AA5)</f>
        <v>0</v>
      </c>
      <c r="AC5" s="17">
        <v>0</v>
      </c>
      <c r="AD5" s="17">
        <v>0</v>
      </c>
      <c r="AE5" s="17"/>
      <c r="AF5" s="18">
        <f t="shared" ref="AF5:AF11" si="4">SUM(AC5:AE5)</f>
        <v>0</v>
      </c>
      <c r="AG5" s="17">
        <v>0</v>
      </c>
      <c r="AH5" s="17">
        <v>0</v>
      </c>
      <c r="AI5" s="17"/>
      <c r="AJ5" s="20">
        <f t="shared" ref="AJ5:AJ11" si="5">SUM(AG5:AI5)</f>
        <v>0</v>
      </c>
      <c r="AK5" s="21">
        <f t="shared" ref="AK5:AK7" si="6">X5+AB5+AF5+AJ5</f>
        <v>1677500</v>
      </c>
      <c r="AL5" s="29">
        <f t="shared" si="1"/>
        <v>0</v>
      </c>
    </row>
    <row r="6" spans="1:38" s="3" customFormat="1" ht="72" customHeight="1">
      <c r="A6" s="3">
        <v>2023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41</v>
      </c>
      <c r="J6" s="23" t="s">
        <v>42</v>
      </c>
      <c r="K6" s="23" t="s">
        <v>43</v>
      </c>
      <c r="L6" s="23" t="s">
        <v>59</v>
      </c>
      <c r="M6" s="23" t="s">
        <v>44</v>
      </c>
      <c r="N6" s="23" t="s">
        <v>60</v>
      </c>
      <c r="O6" s="23" t="s">
        <v>45</v>
      </c>
      <c r="P6" s="23" t="s">
        <v>61</v>
      </c>
      <c r="Q6" s="23" t="s">
        <v>48</v>
      </c>
      <c r="R6" s="23" t="s">
        <v>63</v>
      </c>
      <c r="S6" s="25">
        <v>1511400</v>
      </c>
      <c r="T6" s="17">
        <v>6818300</v>
      </c>
      <c r="U6" s="17"/>
      <c r="V6" s="17">
        <v>1511400</v>
      </c>
      <c r="W6" s="17"/>
      <c r="X6" s="18">
        <f t="shared" si="2"/>
        <v>1511400</v>
      </c>
      <c r="Y6" s="17"/>
      <c r="Z6" s="17">
        <v>0</v>
      </c>
      <c r="AA6" s="17"/>
      <c r="AB6" s="18">
        <f t="shared" si="3"/>
        <v>0</v>
      </c>
      <c r="AC6" s="17">
        <v>0</v>
      </c>
      <c r="AD6" s="17"/>
      <c r="AE6" s="17">
        <v>0</v>
      </c>
      <c r="AF6" s="18">
        <f t="shared" si="4"/>
        <v>0</v>
      </c>
      <c r="AG6" s="17">
        <v>0</v>
      </c>
      <c r="AH6" s="17">
        <v>0</v>
      </c>
      <c r="AI6" s="17"/>
      <c r="AJ6" s="20">
        <f t="shared" si="5"/>
        <v>0</v>
      </c>
      <c r="AK6" s="21">
        <f t="shared" si="6"/>
        <v>1511400</v>
      </c>
      <c r="AL6" s="29">
        <f t="shared" si="1"/>
        <v>0</v>
      </c>
    </row>
    <row r="7" spans="1:38" s="3" customFormat="1" ht="92.25" customHeight="1">
      <c r="A7" s="3">
        <v>2023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41</v>
      </c>
      <c r="J7" s="23" t="s">
        <v>42</v>
      </c>
      <c r="K7" s="23" t="s">
        <v>43</v>
      </c>
      <c r="L7" s="23" t="s">
        <v>59</v>
      </c>
      <c r="M7" s="23" t="s">
        <v>44</v>
      </c>
      <c r="N7" s="23" t="s">
        <v>60</v>
      </c>
      <c r="O7" s="23" t="s">
        <v>45</v>
      </c>
      <c r="P7" s="23" t="s">
        <v>61</v>
      </c>
      <c r="Q7" s="23" t="s">
        <v>64</v>
      </c>
      <c r="R7" s="26" t="s">
        <v>51</v>
      </c>
      <c r="S7" s="25">
        <v>8000000</v>
      </c>
      <c r="T7" s="17">
        <v>3448200</v>
      </c>
      <c r="U7" s="17"/>
      <c r="V7" s="17">
        <v>800000</v>
      </c>
      <c r="W7" s="17"/>
      <c r="X7" s="18">
        <f t="shared" si="2"/>
        <v>800000</v>
      </c>
      <c r="Y7" s="17">
        <v>800000</v>
      </c>
      <c r="Z7" s="17">
        <v>800000</v>
      </c>
      <c r="AA7" s="17"/>
      <c r="AB7" s="18">
        <f t="shared" si="3"/>
        <v>1600000</v>
      </c>
      <c r="AC7" s="17">
        <v>2000000</v>
      </c>
      <c r="AD7" s="17"/>
      <c r="AE7" s="17">
        <v>2000000</v>
      </c>
      <c r="AF7" s="18">
        <f t="shared" si="4"/>
        <v>4000000</v>
      </c>
      <c r="AG7" s="17">
        <v>1600000</v>
      </c>
      <c r="AH7" s="17"/>
      <c r="AI7" s="17"/>
      <c r="AJ7" s="20">
        <f t="shared" si="5"/>
        <v>1600000</v>
      </c>
      <c r="AK7" s="21">
        <f t="shared" si="6"/>
        <v>8000000</v>
      </c>
      <c r="AL7" s="29">
        <f t="shared" si="1"/>
        <v>0</v>
      </c>
    </row>
    <row r="8" spans="1:38" s="3" customFormat="1" ht="90.75" customHeight="1">
      <c r="A8" s="3">
        <v>2023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41</v>
      </c>
      <c r="J8" s="23" t="s">
        <v>42</v>
      </c>
      <c r="K8" s="23" t="s">
        <v>43</v>
      </c>
      <c r="L8" s="23" t="s">
        <v>59</v>
      </c>
      <c r="M8" s="23" t="s">
        <v>44</v>
      </c>
      <c r="N8" s="23" t="s">
        <v>60</v>
      </c>
      <c r="O8" s="23" t="s">
        <v>45</v>
      </c>
      <c r="P8" s="23" t="s">
        <v>61</v>
      </c>
      <c r="Q8" s="23"/>
      <c r="R8" s="27" t="s">
        <v>65</v>
      </c>
      <c r="S8" s="25">
        <v>20400000</v>
      </c>
      <c r="T8" s="17">
        <v>5750000</v>
      </c>
      <c r="U8" s="17"/>
      <c r="V8" s="35">
        <v>3400000</v>
      </c>
      <c r="W8" s="34">
        <v>3400000</v>
      </c>
      <c r="X8" s="18">
        <f t="shared" si="2"/>
        <v>6800000</v>
      </c>
      <c r="Y8" s="17"/>
      <c r="Z8" s="35">
        <v>3400000</v>
      </c>
      <c r="AA8" s="35">
        <v>3400000</v>
      </c>
      <c r="AB8" s="18">
        <f t="shared" si="3"/>
        <v>6800000</v>
      </c>
      <c r="AC8" s="17"/>
      <c r="AD8" s="17">
        <v>3400000</v>
      </c>
      <c r="AE8" s="34">
        <v>3400000</v>
      </c>
      <c r="AF8" s="18">
        <f t="shared" si="4"/>
        <v>6800000</v>
      </c>
      <c r="AG8" s="17"/>
      <c r="AH8" s="17"/>
      <c r="AI8" s="17"/>
      <c r="AJ8" s="20">
        <f t="shared" si="5"/>
        <v>0</v>
      </c>
      <c r="AK8" s="21">
        <f>X8+AB8+AF8+AJ8</f>
        <v>20400000</v>
      </c>
      <c r="AL8" s="29">
        <f t="shared" si="1"/>
        <v>0</v>
      </c>
    </row>
    <row r="9" spans="1:38" s="3" customFormat="1" ht="90.75" customHeight="1">
      <c r="J9" s="23" t="s">
        <v>42</v>
      </c>
      <c r="K9" s="23" t="s">
        <v>43</v>
      </c>
      <c r="L9" s="23" t="s">
        <v>59</v>
      </c>
      <c r="M9" s="23" t="s">
        <v>44</v>
      </c>
      <c r="N9" s="23" t="s">
        <v>60</v>
      </c>
      <c r="O9" s="23" t="s">
        <v>45</v>
      </c>
      <c r="P9" s="23" t="s">
        <v>61</v>
      </c>
      <c r="Q9" s="23"/>
      <c r="R9" s="24" t="s">
        <v>57</v>
      </c>
      <c r="S9" s="28">
        <v>6250000</v>
      </c>
      <c r="T9" s="17"/>
      <c r="U9" s="17"/>
      <c r="V9" s="17"/>
      <c r="W9" s="17"/>
      <c r="X9" s="18">
        <f t="shared" si="2"/>
        <v>0</v>
      </c>
      <c r="Y9" s="17"/>
      <c r="Z9" s="17" t="s">
        <v>66</v>
      </c>
      <c r="AA9" s="17"/>
      <c r="AB9" s="18">
        <f t="shared" si="3"/>
        <v>0</v>
      </c>
      <c r="AC9" s="17"/>
      <c r="AD9" s="17">
        <v>6250000</v>
      </c>
      <c r="AE9" s="17"/>
      <c r="AF9" s="18">
        <f t="shared" si="4"/>
        <v>6250000</v>
      </c>
      <c r="AG9" s="17"/>
      <c r="AH9" s="17"/>
      <c r="AI9" s="17"/>
      <c r="AJ9" s="20">
        <f>SUM(AG9:AI9)</f>
        <v>0</v>
      </c>
      <c r="AK9" s="21">
        <f>X9+AB9+AF9+AJ9</f>
        <v>6250000</v>
      </c>
      <c r="AL9" s="29">
        <f t="shared" si="1"/>
        <v>0</v>
      </c>
    </row>
    <row r="10" spans="1:38" s="3" customFormat="1" ht="90.75" customHeight="1">
      <c r="J10" s="23" t="s">
        <v>42</v>
      </c>
      <c r="K10" s="23" t="s">
        <v>43</v>
      </c>
      <c r="L10" s="23" t="s">
        <v>59</v>
      </c>
      <c r="M10" s="23" t="s">
        <v>44</v>
      </c>
      <c r="N10" s="23" t="s">
        <v>60</v>
      </c>
      <c r="O10" s="23" t="s">
        <v>45</v>
      </c>
      <c r="P10" s="23" t="s">
        <v>61</v>
      </c>
      <c r="Q10" s="23" t="s">
        <v>49</v>
      </c>
      <c r="R10" s="23" t="s">
        <v>53</v>
      </c>
      <c r="S10" s="25">
        <v>19546000</v>
      </c>
      <c r="T10" s="17"/>
      <c r="U10" s="17"/>
      <c r="V10" s="17">
        <v>1687500</v>
      </c>
      <c r="W10" s="17"/>
      <c r="X10" s="18">
        <f>SUM(U10:W10)</f>
        <v>1687500</v>
      </c>
      <c r="Y10" s="17">
        <v>1687500</v>
      </c>
      <c r="Z10" s="17"/>
      <c r="AA10" s="17"/>
      <c r="AB10" s="18">
        <f t="shared" si="3"/>
        <v>1687500</v>
      </c>
      <c r="AC10" s="17">
        <v>1687500</v>
      </c>
      <c r="AD10" s="17">
        <v>0</v>
      </c>
      <c r="AE10" s="17"/>
      <c r="AF10" s="18">
        <f t="shared" si="4"/>
        <v>1687500</v>
      </c>
      <c r="AG10" s="17">
        <v>12796000</v>
      </c>
      <c r="AH10" s="17">
        <v>1687500</v>
      </c>
      <c r="AI10" s="17"/>
      <c r="AJ10" s="20">
        <f t="shared" si="5"/>
        <v>14483500</v>
      </c>
      <c r="AK10" s="21">
        <f>X10+AB10+AF10+AJ10</f>
        <v>19546000</v>
      </c>
      <c r="AL10" s="29">
        <f t="shared" si="1"/>
        <v>0</v>
      </c>
    </row>
    <row r="11" spans="1:38" s="3" customFormat="1" ht="90.75" customHeight="1">
      <c r="J11" s="23" t="s">
        <v>42</v>
      </c>
      <c r="K11" s="23" t="s">
        <v>43</v>
      </c>
      <c r="L11" s="23" t="s">
        <v>59</v>
      </c>
      <c r="M11" s="23" t="s">
        <v>44</v>
      </c>
      <c r="N11" s="23" t="s">
        <v>60</v>
      </c>
      <c r="O11" s="23" t="s">
        <v>45</v>
      </c>
      <c r="P11" s="23" t="s">
        <v>61</v>
      </c>
      <c r="Q11" s="23" t="s">
        <v>50</v>
      </c>
      <c r="R11" s="23" t="s">
        <v>58</v>
      </c>
      <c r="S11" s="25">
        <v>8960000</v>
      </c>
      <c r="T11" s="17"/>
      <c r="U11" s="17"/>
      <c r="V11" s="17">
        <v>960000</v>
      </c>
      <c r="W11" s="17"/>
      <c r="X11" s="18">
        <f t="shared" si="2"/>
        <v>960000</v>
      </c>
      <c r="Y11" s="17">
        <v>1600000</v>
      </c>
      <c r="Z11" s="17"/>
      <c r="AA11" s="17">
        <v>1600000</v>
      </c>
      <c r="AB11" s="18">
        <f>SUM(Y11:AA11)</f>
        <v>3200000</v>
      </c>
      <c r="AC11" s="30">
        <v>1600000</v>
      </c>
      <c r="AD11" s="17">
        <v>1600000</v>
      </c>
      <c r="AE11" s="17"/>
      <c r="AF11" s="18">
        <f t="shared" si="4"/>
        <v>3200000</v>
      </c>
      <c r="AG11" s="17">
        <v>0</v>
      </c>
      <c r="AH11" s="17">
        <v>1600000</v>
      </c>
      <c r="AI11" s="17"/>
      <c r="AJ11" s="20">
        <f t="shared" si="5"/>
        <v>1600000</v>
      </c>
      <c r="AK11" s="21">
        <f>X11+AB11+AF11+AJ11</f>
        <v>8960000</v>
      </c>
      <c r="AL11" s="29">
        <f t="shared" si="1"/>
        <v>0</v>
      </c>
    </row>
    <row r="12" spans="1:38">
      <c r="X12" s="6">
        <f>X4/S4*100</f>
        <v>20.252347957416468</v>
      </c>
      <c r="AB12" s="6">
        <f>AB4/S4*100</f>
        <v>20.027914730446501</v>
      </c>
      <c r="AF12" s="7">
        <f>AF4/S4*100</f>
        <v>33.065842287802077</v>
      </c>
      <c r="AJ12" s="6">
        <f>AJ4/S4*100</f>
        <v>26.65389502433495</v>
      </c>
    </row>
  </sheetData>
  <pageMargins left="0" right="1.18055555555556" top="0" bottom="0" header="0.5" footer="0.5"/>
  <pageSetup paperSize="5" scale="77" orientation="landscape" r:id="rId1"/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8"/>
  <sheetViews>
    <sheetView view="pageBreakPreview" topLeftCell="J1" zoomScale="84" zoomScaleNormal="100" zoomScaleSheetLayoutView="84" workbookViewId="0">
      <pane ySplit="3" topLeftCell="A4" activePane="bottomLeft" state="frozen"/>
      <selection pane="bottomLeft" activeCell="AD7" sqref="AD7"/>
    </sheetView>
  </sheetViews>
  <sheetFormatPr defaultColWidth="9" defaultRowHeight="12"/>
  <cols>
    <col min="1" max="9" width="9" style="4" hidden="1" customWidth="1"/>
    <col min="10" max="10" width="11.625" style="4" customWidth="1"/>
    <col min="11" max="11" width="9" style="4" hidden="1" customWidth="1"/>
    <col min="12" max="12" width="12.625" style="4" customWidth="1"/>
    <col min="13" max="13" width="13.5" style="4" hidden="1" customWidth="1"/>
    <col min="14" max="14" width="14.625" style="4" customWidth="1"/>
    <col min="15" max="15" width="14" style="4" hidden="1" customWidth="1"/>
    <col min="16" max="16" width="13.5" style="4" customWidth="1"/>
    <col min="17" max="17" width="16.375" style="4" hidden="1" customWidth="1"/>
    <col min="18" max="18" width="12" style="4" customWidth="1"/>
    <col min="19" max="19" width="13.25" style="5" customWidth="1"/>
    <col min="20" max="20" width="14.5" style="5" hidden="1" customWidth="1"/>
    <col min="21" max="23" width="12.75" style="5" customWidth="1"/>
    <col min="24" max="24" width="13.75" style="6" customWidth="1"/>
    <col min="25" max="27" width="12.625" style="5" customWidth="1"/>
    <col min="28" max="28" width="13.75" style="6" customWidth="1"/>
    <col min="29" max="29" width="12.875" style="5" customWidth="1"/>
    <col min="30" max="30" width="12.375" style="5" customWidth="1"/>
    <col min="31" max="31" width="12.625" style="5" customWidth="1"/>
    <col min="32" max="32" width="13.625" style="7" customWidth="1"/>
    <col min="33" max="34" width="12.5" style="5" customWidth="1"/>
    <col min="35" max="35" width="13.125" style="5" customWidth="1"/>
    <col min="36" max="36" width="13.25" style="6" customWidth="1"/>
    <col min="37" max="37" width="14" style="8" customWidth="1"/>
    <col min="38" max="16384" width="9" style="4"/>
  </cols>
  <sheetData>
    <row r="1" spans="1:38">
      <c r="J1" s="9" t="s">
        <v>0</v>
      </c>
    </row>
    <row r="3" spans="1:38" s="1" customFormat="1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3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5" t="s">
        <v>24</v>
      </c>
      <c r="Y3" s="14" t="s">
        <v>25</v>
      </c>
      <c r="Z3" s="14" t="s">
        <v>26</v>
      </c>
      <c r="AA3" s="14" t="s">
        <v>27</v>
      </c>
      <c r="AB3" s="15" t="s">
        <v>28</v>
      </c>
      <c r="AC3" s="14" t="s">
        <v>29</v>
      </c>
      <c r="AD3" s="14" t="s">
        <v>30</v>
      </c>
      <c r="AE3" s="14" t="s">
        <v>31</v>
      </c>
      <c r="AF3" s="15" t="s">
        <v>32</v>
      </c>
      <c r="AG3" s="14" t="s">
        <v>33</v>
      </c>
      <c r="AH3" s="14" t="s">
        <v>34</v>
      </c>
      <c r="AI3" s="14" t="s">
        <v>35</v>
      </c>
      <c r="AJ3" s="15" t="s">
        <v>36</v>
      </c>
      <c r="AK3" s="19"/>
    </row>
    <row r="4" spans="1:38" s="2" customFormat="1" ht="15" customHeight="1">
      <c r="J4" s="11"/>
      <c r="K4" s="11"/>
      <c r="L4" s="11"/>
      <c r="M4" s="11"/>
      <c r="N4" s="11"/>
      <c r="O4" s="11"/>
      <c r="P4" s="11"/>
      <c r="Q4" s="11"/>
      <c r="R4" s="11"/>
      <c r="S4" s="16">
        <f t="shared" ref="S4:AH4" si="0">SUM(S5:S7)</f>
        <v>7021100</v>
      </c>
      <c r="T4" s="16">
        <f t="shared" si="0"/>
        <v>12613600</v>
      </c>
      <c r="U4" s="16">
        <f t="shared" si="0"/>
        <v>0</v>
      </c>
      <c r="V4" s="16">
        <f t="shared" si="0"/>
        <v>1741100</v>
      </c>
      <c r="W4" s="16">
        <f t="shared" si="0"/>
        <v>0</v>
      </c>
      <c r="X4" s="16">
        <f t="shared" si="0"/>
        <v>1741100</v>
      </c>
      <c r="Y4" s="16">
        <f t="shared" si="0"/>
        <v>0</v>
      </c>
      <c r="Z4" s="16">
        <f t="shared" si="0"/>
        <v>0</v>
      </c>
      <c r="AA4" s="16">
        <f t="shared" si="0"/>
        <v>2640000</v>
      </c>
      <c r="AB4" s="16">
        <f t="shared" si="0"/>
        <v>2640000</v>
      </c>
      <c r="AC4" s="16">
        <f t="shared" si="0"/>
        <v>0</v>
      </c>
      <c r="AD4" s="16">
        <f t="shared" si="0"/>
        <v>2640000</v>
      </c>
      <c r="AE4" s="16">
        <f t="shared" si="0"/>
        <v>0</v>
      </c>
      <c r="AF4" s="16">
        <f t="shared" si="0"/>
        <v>2640000</v>
      </c>
      <c r="AG4" s="16">
        <f t="shared" si="0"/>
        <v>0</v>
      </c>
      <c r="AH4" s="16">
        <f t="shared" si="0"/>
        <v>0</v>
      </c>
      <c r="AI4" s="16"/>
      <c r="AJ4" s="16">
        <f>SUM(AJ5:AJ7)</f>
        <v>0</v>
      </c>
      <c r="AK4" s="16">
        <f>SUM(AK5:AK7)</f>
        <v>7021100</v>
      </c>
      <c r="AL4" s="31">
        <f t="shared" ref="AL4:AL7" si="1">S4-AK4</f>
        <v>0</v>
      </c>
    </row>
    <row r="5" spans="1:38" s="3" customFormat="1" ht="93" customHeight="1">
      <c r="A5" s="3">
        <v>2023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41</v>
      </c>
      <c r="J5" s="23" t="s">
        <v>42</v>
      </c>
      <c r="K5" s="23" t="s">
        <v>43</v>
      </c>
      <c r="L5" s="23" t="s">
        <v>59</v>
      </c>
      <c r="M5" s="23" t="s">
        <v>44</v>
      </c>
      <c r="N5" s="23" t="s">
        <v>60</v>
      </c>
      <c r="O5" s="23" t="s">
        <v>45</v>
      </c>
      <c r="P5" s="32" t="s">
        <v>67</v>
      </c>
      <c r="Q5" s="23" t="s">
        <v>46</v>
      </c>
      <c r="R5" s="23" t="s">
        <v>62</v>
      </c>
      <c r="S5" s="33">
        <v>1054100</v>
      </c>
      <c r="T5" s="17">
        <v>2347100</v>
      </c>
      <c r="U5" s="17"/>
      <c r="V5" s="17">
        <v>1054100</v>
      </c>
      <c r="W5" s="17"/>
      <c r="X5" s="18">
        <f t="shared" ref="X5:X7" si="2">SUM(U5:W5)</f>
        <v>1054100</v>
      </c>
      <c r="Y5" s="17"/>
      <c r="Z5" s="17"/>
      <c r="AA5" s="17">
        <v>0</v>
      </c>
      <c r="AB5" s="18">
        <f t="shared" ref="AB5:AB7" si="3">SUM(Y5:AA5)</f>
        <v>0</v>
      </c>
      <c r="AC5" s="17"/>
      <c r="AD5" s="17">
        <v>0</v>
      </c>
      <c r="AE5" s="17"/>
      <c r="AF5" s="18">
        <f t="shared" ref="AF5:AF7" si="4">SUM(AC5:AE5)</f>
        <v>0</v>
      </c>
      <c r="AG5" s="17"/>
      <c r="AH5" s="17"/>
      <c r="AI5" s="17"/>
      <c r="AJ5" s="20">
        <f t="shared" ref="AJ5:AJ7" si="5">SUM(AG5:AI5)</f>
        <v>0</v>
      </c>
      <c r="AK5" s="21">
        <f t="shared" ref="AK5:AK7" si="6">X5+AB5+AF5+AJ5</f>
        <v>1054100</v>
      </c>
      <c r="AL5" s="29">
        <f t="shared" si="1"/>
        <v>0</v>
      </c>
    </row>
    <row r="6" spans="1:38" s="3" customFormat="1" ht="72" customHeight="1">
      <c r="A6" s="3">
        <v>2023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41</v>
      </c>
      <c r="J6" s="23" t="s">
        <v>42</v>
      </c>
      <c r="K6" s="23" t="s">
        <v>43</v>
      </c>
      <c r="L6" s="23" t="s">
        <v>59</v>
      </c>
      <c r="M6" s="23" t="s">
        <v>44</v>
      </c>
      <c r="N6" s="23" t="s">
        <v>60</v>
      </c>
      <c r="O6" s="23" t="s">
        <v>45</v>
      </c>
      <c r="P6" s="32" t="s">
        <v>67</v>
      </c>
      <c r="Q6" s="23" t="s">
        <v>48</v>
      </c>
      <c r="R6" s="23" t="s">
        <v>63</v>
      </c>
      <c r="S6" s="33">
        <v>687000</v>
      </c>
      <c r="T6" s="17">
        <v>6818300</v>
      </c>
      <c r="U6" s="17"/>
      <c r="V6" s="17">
        <v>687000</v>
      </c>
      <c r="W6" s="17"/>
      <c r="X6" s="18">
        <f t="shared" si="2"/>
        <v>687000</v>
      </c>
      <c r="Y6" s="17"/>
      <c r="Z6" s="17"/>
      <c r="AA6" s="17"/>
      <c r="AB6" s="18">
        <f t="shared" si="3"/>
        <v>0</v>
      </c>
      <c r="AC6" s="17"/>
      <c r="AD6" s="17"/>
      <c r="AE6" s="17"/>
      <c r="AF6" s="18">
        <f t="shared" si="4"/>
        <v>0</v>
      </c>
      <c r="AG6" s="17"/>
      <c r="AH6" s="17"/>
      <c r="AI6" s="17"/>
      <c r="AJ6" s="20">
        <f t="shared" si="5"/>
        <v>0</v>
      </c>
      <c r="AK6" s="21">
        <f t="shared" si="6"/>
        <v>687000</v>
      </c>
      <c r="AL6" s="29">
        <f t="shared" si="1"/>
        <v>0</v>
      </c>
    </row>
    <row r="7" spans="1:38" s="3" customFormat="1" ht="92.25" customHeight="1">
      <c r="A7" s="3">
        <v>2023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41</v>
      </c>
      <c r="J7" s="23" t="s">
        <v>42</v>
      </c>
      <c r="K7" s="23" t="s">
        <v>43</v>
      </c>
      <c r="L7" s="23" t="s">
        <v>59</v>
      </c>
      <c r="M7" s="23" t="s">
        <v>44</v>
      </c>
      <c r="N7" s="23" t="s">
        <v>60</v>
      </c>
      <c r="O7" s="23" t="s">
        <v>45</v>
      </c>
      <c r="P7" s="32" t="s">
        <v>67</v>
      </c>
      <c r="Q7" s="23" t="s">
        <v>50</v>
      </c>
      <c r="R7" s="23" t="s">
        <v>58</v>
      </c>
      <c r="S7" s="25">
        <v>5280000</v>
      </c>
      <c r="T7" s="17">
        <v>3448200</v>
      </c>
      <c r="U7" s="17"/>
      <c r="V7" s="17"/>
      <c r="W7" s="17"/>
      <c r="X7" s="18">
        <f t="shared" si="2"/>
        <v>0</v>
      </c>
      <c r="Y7" s="17"/>
      <c r="Z7" s="17"/>
      <c r="AA7" s="17">
        <v>2640000</v>
      </c>
      <c r="AB7" s="18">
        <f t="shared" si="3"/>
        <v>2640000</v>
      </c>
      <c r="AC7" s="17"/>
      <c r="AD7" s="17">
        <v>2640000</v>
      </c>
      <c r="AE7" s="17"/>
      <c r="AF7" s="18">
        <f t="shared" si="4"/>
        <v>2640000</v>
      </c>
      <c r="AG7" s="17"/>
      <c r="AH7" s="17"/>
      <c r="AI7" s="17"/>
      <c r="AJ7" s="20">
        <f t="shared" si="5"/>
        <v>0</v>
      </c>
      <c r="AK7" s="21">
        <f t="shared" si="6"/>
        <v>5280000</v>
      </c>
      <c r="AL7" s="29">
        <f t="shared" si="1"/>
        <v>0</v>
      </c>
    </row>
    <row r="8" spans="1:38">
      <c r="X8" s="6">
        <f>X4/S4*100</f>
        <v>24.798108558487986</v>
      </c>
      <c r="AB8" s="6">
        <f>AB4/S4*100</f>
        <v>37.600945720756009</v>
      </c>
      <c r="AF8" s="7">
        <f>AF4/S4*100</f>
        <v>37.600945720756009</v>
      </c>
      <c r="AJ8" s="6">
        <f>AJ4/S4*100</f>
        <v>0</v>
      </c>
    </row>
  </sheetData>
  <pageMargins left="0" right="1.18055555555556" top="0" bottom="0" header="0.5" footer="0.5"/>
  <pageSetup paperSize="5" scale="77" orientation="landscape" r:id="rId1"/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"/>
  <sheetViews>
    <sheetView view="pageBreakPreview" topLeftCell="J1" zoomScaleNormal="100" workbookViewId="0">
      <pane ySplit="3" topLeftCell="A4" activePane="bottomLeft" state="frozen"/>
      <selection pane="bottomLeft" activeCell="AE8" sqref="AE8"/>
    </sheetView>
  </sheetViews>
  <sheetFormatPr defaultColWidth="9" defaultRowHeight="12"/>
  <cols>
    <col min="1" max="9" width="9" style="4" hidden="1" customWidth="1"/>
    <col min="10" max="10" width="11.625" style="4" customWidth="1"/>
    <col min="11" max="11" width="9" style="4" hidden="1" customWidth="1"/>
    <col min="12" max="12" width="12.625" style="4" customWidth="1"/>
    <col min="13" max="13" width="13.5" style="4" hidden="1" customWidth="1"/>
    <col min="14" max="14" width="14.625" style="4" customWidth="1"/>
    <col min="15" max="15" width="14" style="4" hidden="1" customWidth="1"/>
    <col min="16" max="16" width="13.5" style="4" customWidth="1"/>
    <col min="17" max="17" width="16.375" style="4" hidden="1" customWidth="1"/>
    <col min="18" max="18" width="12" style="4" customWidth="1"/>
    <col min="19" max="19" width="13.25" style="5" customWidth="1"/>
    <col min="20" max="20" width="14.5" style="5" hidden="1" customWidth="1"/>
    <col min="21" max="23" width="12.75" style="5" customWidth="1"/>
    <col min="24" max="24" width="13.75" style="6" customWidth="1"/>
    <col min="25" max="27" width="12.625" style="5" customWidth="1"/>
    <col min="28" max="28" width="13.75" style="6" customWidth="1"/>
    <col min="29" max="29" width="12.875" style="5" customWidth="1"/>
    <col min="30" max="30" width="12.375" style="5" customWidth="1"/>
    <col min="31" max="31" width="12.625" style="5" customWidth="1"/>
    <col min="32" max="32" width="13.625" style="7" customWidth="1"/>
    <col min="33" max="34" width="12.5" style="5" customWidth="1"/>
    <col min="35" max="35" width="13.125" style="5" customWidth="1"/>
    <col min="36" max="36" width="13.25" style="6" customWidth="1"/>
    <col min="37" max="37" width="14" style="8" customWidth="1"/>
    <col min="38" max="16384" width="9" style="4"/>
  </cols>
  <sheetData>
    <row r="1" spans="1:38">
      <c r="J1" s="9" t="s">
        <v>0</v>
      </c>
    </row>
    <row r="3" spans="1:38" s="1" customFormat="1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3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5" t="s">
        <v>24</v>
      </c>
      <c r="Y3" s="14" t="s">
        <v>25</v>
      </c>
      <c r="Z3" s="14" t="s">
        <v>26</v>
      </c>
      <c r="AA3" s="14" t="s">
        <v>27</v>
      </c>
      <c r="AB3" s="15" t="s">
        <v>28</v>
      </c>
      <c r="AC3" s="14" t="s">
        <v>29</v>
      </c>
      <c r="AD3" s="14" t="s">
        <v>30</v>
      </c>
      <c r="AE3" s="14" t="s">
        <v>31</v>
      </c>
      <c r="AF3" s="15" t="s">
        <v>32</v>
      </c>
      <c r="AG3" s="14" t="s">
        <v>33</v>
      </c>
      <c r="AH3" s="14" t="s">
        <v>34</v>
      </c>
      <c r="AI3" s="14" t="s">
        <v>35</v>
      </c>
      <c r="AJ3" s="15" t="s">
        <v>36</v>
      </c>
      <c r="AK3" s="19"/>
    </row>
    <row r="4" spans="1:38" s="2" customFormat="1" ht="15" customHeight="1">
      <c r="J4" s="11"/>
      <c r="K4" s="11"/>
      <c r="L4" s="11"/>
      <c r="M4" s="11"/>
      <c r="N4" s="11"/>
      <c r="O4" s="11"/>
      <c r="P4" s="11"/>
      <c r="Q4" s="11"/>
      <c r="R4" s="11"/>
      <c r="S4" s="16">
        <f t="shared" ref="S4:AH4" si="0">SUM(S5:S8)</f>
        <v>13249200</v>
      </c>
      <c r="T4" s="16">
        <f t="shared" si="0"/>
        <v>18363600</v>
      </c>
      <c r="U4" s="16">
        <f t="shared" si="0"/>
        <v>0</v>
      </c>
      <c r="V4" s="16">
        <f t="shared" si="0"/>
        <v>2299200</v>
      </c>
      <c r="W4" s="16">
        <f t="shared" si="0"/>
        <v>0</v>
      </c>
      <c r="X4" s="16">
        <f t="shared" si="0"/>
        <v>2299200</v>
      </c>
      <c r="Y4" s="16">
        <f t="shared" si="0"/>
        <v>0</v>
      </c>
      <c r="Z4" s="16">
        <f t="shared" si="0"/>
        <v>0</v>
      </c>
      <c r="AA4" s="16">
        <f t="shared" si="0"/>
        <v>0</v>
      </c>
      <c r="AB4" s="16">
        <f t="shared" si="0"/>
        <v>0</v>
      </c>
      <c r="AC4" s="16">
        <f t="shared" si="0"/>
        <v>0</v>
      </c>
      <c r="AD4" s="16">
        <f t="shared" si="0"/>
        <v>7110000</v>
      </c>
      <c r="AE4" s="16">
        <f t="shared" si="0"/>
        <v>3840000</v>
      </c>
      <c r="AF4" s="16">
        <f t="shared" si="0"/>
        <v>10950000</v>
      </c>
      <c r="AG4" s="16">
        <f t="shared" si="0"/>
        <v>0</v>
      </c>
      <c r="AH4" s="16">
        <f t="shared" si="0"/>
        <v>0</v>
      </c>
      <c r="AI4" s="16"/>
      <c r="AJ4" s="16">
        <f>SUM(AJ5:AJ8)</f>
        <v>0</v>
      </c>
      <c r="AK4" s="16">
        <f>SUM(AK5:AK8)</f>
        <v>13249200</v>
      </c>
      <c r="AL4" s="2">
        <f t="shared" ref="AL4:AL8" si="1">S4-AK4</f>
        <v>0</v>
      </c>
    </row>
    <row r="5" spans="1:38" s="3" customFormat="1" ht="122.25" customHeight="1">
      <c r="A5" s="3">
        <v>2023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41</v>
      </c>
      <c r="J5" s="23" t="s">
        <v>42</v>
      </c>
      <c r="K5" s="23" t="s">
        <v>43</v>
      </c>
      <c r="L5" s="23" t="s">
        <v>68</v>
      </c>
      <c r="M5" s="23" t="s">
        <v>44</v>
      </c>
      <c r="N5" s="23" t="s">
        <v>69</v>
      </c>
      <c r="O5" s="23" t="s">
        <v>45</v>
      </c>
      <c r="P5" s="23" t="s">
        <v>70</v>
      </c>
      <c r="Q5" s="23" t="s">
        <v>48</v>
      </c>
      <c r="R5" s="23" t="s">
        <v>63</v>
      </c>
      <c r="S5" s="22">
        <v>1099200</v>
      </c>
      <c r="T5" s="17">
        <v>2347100</v>
      </c>
      <c r="U5" s="17"/>
      <c r="V5" s="17">
        <v>1099200</v>
      </c>
      <c r="W5" s="17"/>
      <c r="X5" s="18">
        <f t="shared" ref="X5:X8" si="2">SUM(U5:W5)</f>
        <v>1099200</v>
      </c>
      <c r="Y5" s="17"/>
      <c r="Z5" s="17"/>
      <c r="AA5" s="17"/>
      <c r="AB5" s="18">
        <f t="shared" ref="AB5:AB8" si="3">SUM(Y5:AA5)</f>
        <v>0</v>
      </c>
      <c r="AC5" s="17"/>
      <c r="AD5" s="17"/>
      <c r="AE5" s="17"/>
      <c r="AF5" s="18">
        <f t="shared" ref="AF5:AF8" si="4">SUM(AC5:AE5)</f>
        <v>0</v>
      </c>
      <c r="AG5" s="17"/>
      <c r="AH5" s="17"/>
      <c r="AI5" s="17"/>
      <c r="AJ5" s="20">
        <f t="shared" ref="AJ5:AJ8" si="5">SUM(AG5:AI5)</f>
        <v>0</v>
      </c>
      <c r="AK5" s="21">
        <f t="shared" ref="AK5:AK7" si="6">X5+AB5+AF5+AJ5</f>
        <v>1099200</v>
      </c>
      <c r="AL5" s="3">
        <f t="shared" si="1"/>
        <v>0</v>
      </c>
    </row>
    <row r="6" spans="1:38" s="3" customFormat="1" ht="111" customHeight="1">
      <c r="A6" s="3">
        <v>2023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41</v>
      </c>
      <c r="J6" s="23" t="s">
        <v>42</v>
      </c>
      <c r="K6" s="23" t="s">
        <v>43</v>
      </c>
      <c r="L6" s="23" t="s">
        <v>68</v>
      </c>
      <c r="M6" s="23" t="s">
        <v>44</v>
      </c>
      <c r="N6" s="23" t="s">
        <v>69</v>
      </c>
      <c r="O6" s="23" t="s">
        <v>45</v>
      </c>
      <c r="P6" s="23" t="s">
        <v>70</v>
      </c>
      <c r="Q6" s="23" t="s">
        <v>48</v>
      </c>
      <c r="R6" s="26" t="s">
        <v>51</v>
      </c>
      <c r="S6" s="22">
        <v>1200000</v>
      </c>
      <c r="T6" s="17">
        <v>6818300</v>
      </c>
      <c r="U6" s="17"/>
      <c r="V6" s="17">
        <v>1200000</v>
      </c>
      <c r="W6" s="17"/>
      <c r="X6" s="18">
        <f t="shared" si="2"/>
        <v>1200000</v>
      </c>
      <c r="Y6" s="17"/>
      <c r="Z6" s="17"/>
      <c r="AA6" s="17"/>
      <c r="AB6" s="18">
        <f t="shared" si="3"/>
        <v>0</v>
      </c>
      <c r="AC6" s="17"/>
      <c r="AD6" s="17"/>
      <c r="AE6" s="17"/>
      <c r="AF6" s="18">
        <f t="shared" si="4"/>
        <v>0</v>
      </c>
      <c r="AG6" s="17"/>
      <c r="AH6" s="17"/>
      <c r="AI6" s="17"/>
      <c r="AJ6" s="20">
        <f t="shared" si="5"/>
        <v>0</v>
      </c>
      <c r="AK6" s="21">
        <f t="shared" si="6"/>
        <v>1200000</v>
      </c>
      <c r="AL6" s="3">
        <f t="shared" si="1"/>
        <v>0</v>
      </c>
    </row>
    <row r="7" spans="1:38" s="3" customFormat="1" ht="132.75" customHeight="1">
      <c r="A7" s="3">
        <v>2023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41</v>
      </c>
      <c r="J7" s="23" t="s">
        <v>42</v>
      </c>
      <c r="K7" s="23" t="s">
        <v>43</v>
      </c>
      <c r="L7" s="23" t="s">
        <v>68</v>
      </c>
      <c r="M7" s="23" t="s">
        <v>44</v>
      </c>
      <c r="N7" s="23" t="s">
        <v>69</v>
      </c>
      <c r="O7" s="23" t="s">
        <v>45</v>
      </c>
      <c r="P7" s="23" t="s">
        <v>70</v>
      </c>
      <c r="Q7" s="23" t="s">
        <v>64</v>
      </c>
      <c r="R7" s="23" t="s">
        <v>55</v>
      </c>
      <c r="S7" s="22">
        <v>1350000</v>
      </c>
      <c r="T7" s="17">
        <v>3448200</v>
      </c>
      <c r="U7" s="17"/>
      <c r="V7" s="17"/>
      <c r="W7" s="17"/>
      <c r="X7" s="18">
        <f t="shared" si="2"/>
        <v>0</v>
      </c>
      <c r="Y7" s="17"/>
      <c r="Z7" s="17"/>
      <c r="AA7" s="17"/>
      <c r="AB7" s="18">
        <f t="shared" si="3"/>
        <v>0</v>
      </c>
      <c r="AC7" s="17"/>
      <c r="AD7" s="22">
        <v>1350000</v>
      </c>
      <c r="AE7" s="17"/>
      <c r="AF7" s="18">
        <f t="shared" si="4"/>
        <v>1350000</v>
      </c>
      <c r="AG7" s="17"/>
      <c r="AH7" s="17"/>
      <c r="AI7" s="17"/>
      <c r="AJ7" s="20">
        <f t="shared" si="5"/>
        <v>0</v>
      </c>
      <c r="AK7" s="21">
        <f t="shared" si="6"/>
        <v>1350000</v>
      </c>
      <c r="AL7" s="3">
        <f t="shared" si="1"/>
        <v>0</v>
      </c>
    </row>
    <row r="8" spans="1:38" s="3" customFormat="1" ht="90.75" customHeight="1">
      <c r="A8" s="3">
        <v>2023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41</v>
      </c>
      <c r="J8" s="23" t="s">
        <v>42</v>
      </c>
      <c r="K8" s="23" t="s">
        <v>43</v>
      </c>
      <c r="L8" s="23" t="s">
        <v>68</v>
      </c>
      <c r="M8" s="23" t="s">
        <v>44</v>
      </c>
      <c r="N8" s="23" t="s">
        <v>69</v>
      </c>
      <c r="O8" s="23" t="s">
        <v>45</v>
      </c>
      <c r="P8" s="23" t="s">
        <v>70</v>
      </c>
      <c r="Q8" s="23" t="s">
        <v>50</v>
      </c>
      <c r="R8" s="23" t="s">
        <v>58</v>
      </c>
      <c r="S8" s="22">
        <v>9600000</v>
      </c>
      <c r="T8" s="17">
        <v>5750000</v>
      </c>
      <c r="U8" s="17"/>
      <c r="V8" s="17"/>
      <c r="W8" s="17"/>
      <c r="X8" s="18">
        <f t="shared" si="2"/>
        <v>0</v>
      </c>
      <c r="Y8" s="17"/>
      <c r="Z8" s="17"/>
      <c r="AA8" s="17"/>
      <c r="AB8" s="18">
        <f t="shared" si="3"/>
        <v>0</v>
      </c>
      <c r="AC8" s="17"/>
      <c r="AD8" s="17">
        <v>5760000</v>
      </c>
      <c r="AE8" s="17">
        <v>3840000</v>
      </c>
      <c r="AF8" s="18">
        <f t="shared" si="4"/>
        <v>9600000</v>
      </c>
      <c r="AG8" s="17"/>
      <c r="AH8" s="17"/>
      <c r="AI8" s="17"/>
      <c r="AJ8" s="20">
        <f t="shared" si="5"/>
        <v>0</v>
      </c>
      <c r="AK8" s="21">
        <f>X8+AB8+AF8+AJ8</f>
        <v>9600000</v>
      </c>
      <c r="AL8" s="3">
        <f t="shared" si="1"/>
        <v>0</v>
      </c>
    </row>
    <row r="9" spans="1:38">
      <c r="X9" s="6">
        <f>X4/S4*100</f>
        <v>17.353500588714791</v>
      </c>
      <c r="AB9" s="6">
        <f>AB4/S4*100</f>
        <v>0</v>
      </c>
      <c r="AF9" s="7">
        <f>AF4/S4*100</f>
        <v>82.64649941128522</v>
      </c>
      <c r="AJ9" s="6">
        <f>AJ4/S4*100</f>
        <v>0</v>
      </c>
    </row>
  </sheetData>
  <pageMargins left="0" right="1.18055555555556" top="0" bottom="0" header="0.5" footer="0.5"/>
  <pageSetup paperSize="5" scale="77" orientation="landscape" r:id="rId1"/>
  <colBreaks count="1" manualBreakCount="1">
    <brk id="2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6"/>
  <sheetViews>
    <sheetView view="pageBreakPreview" topLeftCell="J1" zoomScaleNormal="100" workbookViewId="0">
      <pane ySplit="3" topLeftCell="A4" activePane="bottomLeft" state="frozen"/>
      <selection pane="bottomLeft" activeCell="P5" sqref="P5"/>
    </sheetView>
  </sheetViews>
  <sheetFormatPr defaultColWidth="9" defaultRowHeight="12"/>
  <cols>
    <col min="1" max="9" width="9" style="4" hidden="1" customWidth="1"/>
    <col min="10" max="10" width="11.625" style="4" customWidth="1"/>
    <col min="11" max="11" width="9" style="4" hidden="1" customWidth="1"/>
    <col min="12" max="12" width="12.625" style="4" customWidth="1"/>
    <col min="13" max="13" width="13.5" style="4" hidden="1" customWidth="1"/>
    <col min="14" max="14" width="14.625" style="4" customWidth="1"/>
    <col min="15" max="15" width="14" style="4" hidden="1" customWidth="1"/>
    <col min="16" max="16" width="13.5" style="4" customWidth="1"/>
    <col min="17" max="17" width="16.375" style="4" hidden="1" customWidth="1"/>
    <col min="18" max="18" width="12" style="4" customWidth="1"/>
    <col min="19" max="19" width="13.25" style="5" customWidth="1"/>
    <col min="20" max="20" width="14.5" style="5" hidden="1" customWidth="1"/>
    <col min="21" max="23" width="12.75" style="5" customWidth="1"/>
    <col min="24" max="24" width="13.75" style="6" customWidth="1"/>
    <col min="25" max="27" width="12.625" style="5" customWidth="1"/>
    <col min="28" max="28" width="13.75" style="6" customWidth="1"/>
    <col min="29" max="29" width="12.875" style="5" customWidth="1"/>
    <col min="30" max="30" width="12.375" style="5" customWidth="1"/>
    <col min="31" max="31" width="12.625" style="5" customWidth="1"/>
    <col min="32" max="32" width="13.625" style="7" customWidth="1"/>
    <col min="33" max="34" width="12.5" style="5" customWidth="1"/>
    <col min="35" max="35" width="13.125" style="5" customWidth="1"/>
    <col min="36" max="36" width="13.25" style="6" customWidth="1"/>
    <col min="37" max="37" width="14" style="8" customWidth="1"/>
    <col min="38" max="16384" width="9" style="4"/>
  </cols>
  <sheetData>
    <row r="1" spans="1:38">
      <c r="J1" s="9" t="s">
        <v>0</v>
      </c>
    </row>
    <row r="3" spans="1:38" s="1" customFormat="1" ht="27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3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5" t="s">
        <v>24</v>
      </c>
      <c r="Y3" s="14" t="s">
        <v>25</v>
      </c>
      <c r="Z3" s="14" t="s">
        <v>26</v>
      </c>
      <c r="AA3" s="14" t="s">
        <v>27</v>
      </c>
      <c r="AB3" s="15" t="s">
        <v>28</v>
      </c>
      <c r="AC3" s="14" t="s">
        <v>29</v>
      </c>
      <c r="AD3" s="14" t="s">
        <v>30</v>
      </c>
      <c r="AE3" s="14" t="s">
        <v>31</v>
      </c>
      <c r="AF3" s="15" t="s">
        <v>32</v>
      </c>
      <c r="AG3" s="14" t="s">
        <v>33</v>
      </c>
      <c r="AH3" s="14" t="s">
        <v>34</v>
      </c>
      <c r="AI3" s="14" t="s">
        <v>35</v>
      </c>
      <c r="AJ3" s="15" t="s">
        <v>36</v>
      </c>
      <c r="AK3" s="19"/>
    </row>
    <row r="4" spans="1:38" s="2" customFormat="1" ht="15" customHeight="1">
      <c r="J4" s="11"/>
      <c r="K4" s="11"/>
      <c r="L4" s="11"/>
      <c r="M4" s="11"/>
      <c r="N4" s="11"/>
      <c r="O4" s="11"/>
      <c r="P4" s="11"/>
      <c r="Q4" s="11"/>
      <c r="R4" s="11"/>
      <c r="S4" s="16">
        <f t="shared" ref="S4:AH4" si="0">SUM(S5:S5)</f>
        <v>4400000</v>
      </c>
      <c r="T4" s="16">
        <f t="shared" si="0"/>
        <v>2347100</v>
      </c>
      <c r="U4" s="16">
        <f t="shared" si="0"/>
        <v>0</v>
      </c>
      <c r="V4" s="16">
        <f t="shared" si="0"/>
        <v>0</v>
      </c>
      <c r="W4" s="16">
        <f t="shared" si="0"/>
        <v>0</v>
      </c>
      <c r="X4" s="16">
        <f t="shared" si="0"/>
        <v>0</v>
      </c>
      <c r="Y4" s="16">
        <f t="shared" si="0"/>
        <v>0</v>
      </c>
      <c r="Z4" s="16">
        <f t="shared" si="0"/>
        <v>0</v>
      </c>
      <c r="AA4" s="16">
        <f t="shared" si="0"/>
        <v>4400000</v>
      </c>
      <c r="AB4" s="16">
        <f t="shared" si="0"/>
        <v>4400000</v>
      </c>
      <c r="AC4" s="16">
        <f t="shared" si="0"/>
        <v>0</v>
      </c>
      <c r="AD4" s="16">
        <f t="shared" si="0"/>
        <v>0</v>
      </c>
      <c r="AE4" s="16">
        <f t="shared" si="0"/>
        <v>0</v>
      </c>
      <c r="AF4" s="16">
        <f t="shared" si="0"/>
        <v>0</v>
      </c>
      <c r="AG4" s="16">
        <f t="shared" si="0"/>
        <v>0</v>
      </c>
      <c r="AH4" s="16">
        <f t="shared" si="0"/>
        <v>0</v>
      </c>
      <c r="AI4" s="16"/>
      <c r="AJ4" s="16">
        <f>SUM(AJ5:AJ5)</f>
        <v>0</v>
      </c>
      <c r="AK4" s="16">
        <f>SUM(AK5:AK5)</f>
        <v>4400000</v>
      </c>
      <c r="AL4" s="2">
        <f t="shared" ref="AL4:AL5" si="1">S4-AK4</f>
        <v>0</v>
      </c>
    </row>
    <row r="5" spans="1:38" s="3" customFormat="1" ht="122.25" customHeight="1">
      <c r="A5" s="3">
        <v>2023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41</v>
      </c>
      <c r="J5" s="23" t="s">
        <v>42</v>
      </c>
      <c r="K5" s="23" t="s">
        <v>43</v>
      </c>
      <c r="L5" s="23" t="s">
        <v>68</v>
      </c>
      <c r="M5" s="23" t="s">
        <v>44</v>
      </c>
      <c r="N5" s="23" t="s">
        <v>71</v>
      </c>
      <c r="O5" s="23" t="s">
        <v>45</v>
      </c>
      <c r="P5" s="23" t="s">
        <v>72</v>
      </c>
      <c r="Q5" s="23" t="s">
        <v>64</v>
      </c>
      <c r="R5" s="23" t="s">
        <v>73</v>
      </c>
      <c r="S5" s="22">
        <v>4400000</v>
      </c>
      <c r="T5" s="17">
        <v>2347100</v>
      </c>
      <c r="U5" s="17"/>
      <c r="V5" s="17"/>
      <c r="W5" s="17"/>
      <c r="X5" s="18">
        <f t="shared" ref="X5" si="2">SUM(U5:W5)</f>
        <v>0</v>
      </c>
      <c r="Y5" s="17"/>
      <c r="Z5" s="17"/>
      <c r="AA5" s="17">
        <v>4400000</v>
      </c>
      <c r="AB5" s="18">
        <f t="shared" ref="AB5" si="3">SUM(Y5:AA5)</f>
        <v>4400000</v>
      </c>
      <c r="AC5" s="17"/>
      <c r="AD5" s="17"/>
      <c r="AE5" s="17"/>
      <c r="AF5" s="18">
        <f t="shared" ref="AF5" si="4">SUM(AC5:AE5)</f>
        <v>0</v>
      </c>
      <c r="AG5" s="17"/>
      <c r="AH5" s="17"/>
      <c r="AI5" s="17"/>
      <c r="AJ5" s="20">
        <f t="shared" ref="AJ5" si="5">SUM(AG5:AI5)</f>
        <v>0</v>
      </c>
      <c r="AK5" s="21">
        <f t="shared" ref="AK5" si="6">X5+AB5+AF5+AJ5</f>
        <v>4400000</v>
      </c>
      <c r="AL5" s="3">
        <f t="shared" si="1"/>
        <v>0</v>
      </c>
    </row>
    <row r="6" spans="1:38">
      <c r="AB6" s="6">
        <f>AB4/S4*100</f>
        <v>100</v>
      </c>
      <c r="AF6" s="7">
        <f>AF4/S4*100</f>
        <v>0</v>
      </c>
      <c r="AJ6" s="6">
        <f>AJ4/S4*100</f>
        <v>0</v>
      </c>
    </row>
  </sheetData>
  <pageMargins left="0" right="1.18055555555556" top="0" bottom="0" header="0.5" footer="0.5"/>
  <pageSetup paperSize="5" scale="77" orientation="landscape" r:id="rId1"/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kesling</vt:lpstr>
      <vt:lpstr>kab sehat</vt:lpstr>
      <vt:lpstr>kesjaor</vt:lpstr>
      <vt:lpstr>TPM</vt:lpstr>
      <vt:lpstr>makjan</vt:lpstr>
      <vt:lpstr>'kab sehat'!Print_Area</vt:lpstr>
      <vt:lpstr>kesjaor!Print_Area</vt:lpstr>
      <vt:lpstr>kesling!Print_Area</vt:lpstr>
      <vt:lpstr>makjan!Print_Area</vt:lpstr>
      <vt:lpstr>TPM!Print_Area</vt:lpstr>
      <vt:lpstr>'kab sehat'!Print_Titles</vt:lpstr>
      <vt:lpstr>kesjaor!Print_Titles</vt:lpstr>
      <vt:lpstr>kesling!Print_Titles</vt:lpstr>
      <vt:lpstr>makjan!Print_Titles</vt:lpstr>
      <vt:lpstr>TPM!Print_Titles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Dinkes</dc:creator>
  <cp:lastModifiedBy>ALIEF COMPUTER</cp:lastModifiedBy>
  <cp:lastPrinted>2025-01-06T06:18:05Z</cp:lastPrinted>
  <dcterms:created xsi:type="dcterms:W3CDTF">2023-01-04T04:14:00Z</dcterms:created>
  <dcterms:modified xsi:type="dcterms:W3CDTF">2026-07-10T06:25:03Z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441D862B30644DAEA063C1E805844782_13</vt:lpwstr>
  </property>
  <property fmtid="{D5CDD505-2E9C-101B-9397-08002B2CF9AE}" pid="3" name="KSOProductBuildVer">
    <vt:lpwstr>1033-12.2.0.19307</vt:lpwstr>
  </property>
</Properties>
</file>